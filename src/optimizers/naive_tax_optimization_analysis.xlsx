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kovalick\Bens_Workspace\Repositories\GurobiTests\optimizers\"/>
    </mc:Choice>
  </mc:AlternateContent>
  <xr:revisionPtr revIDLastSave="0" documentId="13_ncr:1_{109C3EFC-D0F3-4D26-9BF8-20D4E76A4BC7}" xr6:coauthVersionLast="47" xr6:coauthVersionMax="47" xr10:uidLastSave="{00000000-0000-0000-0000-000000000000}"/>
  <bookViews>
    <workbookView xWindow="28680" yWindow="-1995" windowWidth="29040" windowHeight="15720" xr2:uid="{4F1F1C6A-B150-49B4-8678-10CA9D58BC6C}"/>
  </bookViews>
  <sheets>
    <sheet name="Results" sheetId="3" r:id="rId1"/>
    <sheet name="Lot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3" l="1"/>
  <c r="K2" i="3"/>
  <c r="J2" i="3"/>
  <c r="I3" i="3"/>
  <c r="J3" i="3" s="1"/>
  <c r="I4" i="3" l="1"/>
  <c r="I5" i="3" l="1"/>
  <c r="K5" i="3" s="1"/>
  <c r="K4" i="3"/>
  <c r="J4" i="3"/>
  <c r="J5" i="3"/>
  <c r="I6" i="3"/>
  <c r="K6" i="3" s="1"/>
  <c r="J6" i="3" l="1"/>
  <c r="I7" i="3"/>
  <c r="K7" i="3" s="1"/>
  <c r="J7" i="3" l="1"/>
  <c r="I8" i="3"/>
  <c r="K8" i="3" s="1"/>
  <c r="J8" i="3" l="1"/>
  <c r="I9" i="3"/>
  <c r="K9" i="3" s="1"/>
  <c r="I10" i="3" l="1"/>
  <c r="K10" i="3" s="1"/>
  <c r="J9" i="3"/>
  <c r="J10" i="3" l="1"/>
  <c r="I11" i="3"/>
  <c r="K11" i="3" s="1"/>
  <c r="J11" i="3" l="1"/>
  <c r="I12" i="3"/>
  <c r="K12" i="3" s="1"/>
  <c r="J12" i="3" l="1"/>
</calcChain>
</file>

<file path=xl/sharedStrings.xml><?xml version="1.0" encoding="utf-8"?>
<sst xmlns="http://schemas.openxmlformats.org/spreadsheetml/2006/main" count="152" uniqueCount="28">
  <si>
    <t>DepositDate</t>
  </si>
  <si>
    <t>Ticker</t>
  </si>
  <si>
    <t>CurrentPrice</t>
  </si>
  <si>
    <t>AcqPrice</t>
  </si>
  <si>
    <t>CostBasis</t>
  </si>
  <si>
    <t>Term</t>
  </si>
  <si>
    <t>TaxRate</t>
  </si>
  <si>
    <t>CurrentValue</t>
  </si>
  <si>
    <t>Shares</t>
  </si>
  <si>
    <t>GainPerShare</t>
  </si>
  <si>
    <t>MaxTaxCost</t>
  </si>
  <si>
    <t>AAPL</t>
  </si>
  <si>
    <t>LT</t>
  </si>
  <si>
    <t>MSFT</t>
  </si>
  <si>
    <t>XOM</t>
  </si>
  <si>
    <t>BAC</t>
  </si>
  <si>
    <t>UNH</t>
  </si>
  <si>
    <t>OptimalWeight</t>
  </si>
  <si>
    <t>CurrentWeight</t>
  </si>
  <si>
    <t>WeightChange</t>
  </si>
  <si>
    <t>RealizedTax</t>
  </si>
  <si>
    <t>TaxPreference</t>
  </si>
  <si>
    <t>TotalGainsRealized</t>
  </si>
  <si>
    <t>CurrentAmount</t>
  </si>
  <si>
    <t>TradeAmount</t>
  </si>
  <si>
    <t>FinalAmount</t>
  </si>
  <si>
    <t>TaxBill-Gurobi</t>
  </si>
  <si>
    <t>TaxBill-Clarabel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</si>
</sst>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.000%"/>
    <numFmt numFmtId="165" formatCode="0.0000%"/>
  </numFmts>
  <fonts count="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14" fontId="0" fillId="0" borderId="0" xfId="0" applyNumberFormat="1"/>
    <xf numFmtId="44" fontId="0" fillId="0" borderId="0" xfId="1" applyFont="1"/>
    <xf numFmtId="10" fontId="0" fillId="0" borderId="0" xfId="2" applyNumberFormat="1" applyFont="1"/>
    <xf numFmtId="164" fontId="0" fillId="0" borderId="0" xfId="2" applyNumberFormat="1" applyFont="1"/>
    <xf numFmtId="11" fontId="0" fillId="0" borderId="0" xfId="1" applyNumberFormat="1" applyFont="1"/>
    <xf numFmtId="165" fontId="0" fillId="0" borderId="0" xfId="2" applyNumberFormat="1" applyFont="1"/>
    <xf numFmtId="0" fontId="0" fillId="0" borderId="0" xfId="0" applyNumberFormat="1"/>
    <xf numFmtId="0" fontId="0" fillId="0" borderId="0" xfId="1" applyNumberFormat="1" applyFont="1"/>
    <xf numFmtId="0" fontId="2" fillId="0" borderId="0" xfId="0" applyFont="1"/>
    <xf numFmtId="10" fontId="2" fillId="0" borderId="0" xfId="2" applyNumberFormat="1" applyFont="1"/>
    <xf numFmtId="44" fontId="2" fillId="0" borderId="0" xfId="1" applyFont="1"/>
    <xf numFmtId="0" fontId="2" fillId="0" borderId="0" xfId="0" applyNumberFormat="1" applyFont="1"/>
    <xf numFmtId="11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Tax Bill</a:t>
            </a:r>
            <a:r>
              <a:rPr lang="en-US" baseline="0"/>
              <a:t> vs. Preference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Results!$J$1</c:f>
              <c:strCache>
                <c:ptCount val="1"/>
                <c:pt idx="0">
                  <c:v> TaxBill-Clarabel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Results!$I$2:$I$12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</c:numCache>
            </c:numRef>
          </c:cat>
          <c:val>
            <c:numRef>
              <c:f>Results!$J$2:$J$12</c:f>
              <c:numCache>
                <c:formatCode>_("$"* #,##0.00_);_("$"* \(#,##0.00\);_("$"* "-"??_);_(@_)</c:formatCode>
                <c:ptCount val="11"/>
                <c:pt idx="0">
                  <c:v>10938.7787437925</c:v>
                </c:pt>
                <c:pt idx="1">
                  <c:v>8857.0050499328609</c:v>
                </c:pt>
                <c:pt idx="2">
                  <c:v>8353.8547020783317</c:v>
                </c:pt>
                <c:pt idx="3">
                  <c:v>7657.1450255365571</c:v>
                </c:pt>
                <c:pt idx="4">
                  <c:v>6563.2672366131001</c:v>
                </c:pt>
                <c:pt idx="5">
                  <c:v>5469.3893713712196</c:v>
                </c:pt>
                <c:pt idx="6">
                  <c:v>4375.5114974603503</c:v>
                </c:pt>
                <c:pt idx="7">
                  <c:v>3281.6336213093041</c:v>
                </c:pt>
                <c:pt idx="8">
                  <c:v>2187.7557486749906</c:v>
                </c:pt>
                <c:pt idx="9">
                  <c:v>1093.877873253957</c:v>
                </c:pt>
                <c:pt idx="10">
                  <c:v>1.0527080746308263E-13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AE-495B-82C3-481E7858A2E3}"/>
            </c:ext>
          </c:extLst>
        </c:ser>
        <c:ser>
          <c:idx val="1"/>
          <c:order val="1"/>
          <c:tx>
            <c:strRef>
              <c:f>Results!$K$1</c:f>
              <c:strCache>
                <c:ptCount val="1"/>
                <c:pt idx="0">
                  <c:v> TaxBill-Gurobi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Results!$I$2:$I$12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</c:numCache>
            </c:numRef>
          </c:cat>
          <c:val>
            <c:numRef>
              <c:f>Results!$K$2:$K$12</c:f>
              <c:numCache>
                <c:formatCode>_("$"* #,##0.00_);_("$"* \(#,##0.00\);_("$"* "-"??_);_(@_)</c:formatCode>
                <c:ptCount val="11"/>
                <c:pt idx="0">
                  <c:v>14595.8611628161</c:v>
                </c:pt>
                <c:pt idx="1">
                  <c:v>13136.2750465345</c:v>
                </c:pt>
                <c:pt idx="2">
                  <c:v>11676.6889302529</c:v>
                </c:pt>
                <c:pt idx="3">
                  <c:v>10217.1028139713</c:v>
                </c:pt>
                <c:pt idx="4">
                  <c:v>8757.5166976896908</c:v>
                </c:pt>
                <c:pt idx="5">
                  <c:v>7297.9305814080699</c:v>
                </c:pt>
                <c:pt idx="6">
                  <c:v>5838.3444651264599</c:v>
                </c:pt>
                <c:pt idx="7">
                  <c:v>4378.7583488448399</c:v>
                </c:pt>
                <c:pt idx="8">
                  <c:v>2919.17223256323</c:v>
                </c:pt>
                <c:pt idx="9">
                  <c:v>1459.58611628161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AE-495B-82C3-481E7858A2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751695"/>
        <c:axId val="1760751215"/>
      </c:lineChart>
      <c:catAx>
        <c:axId val="1760751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751215"/>
        <c:crosses val="autoZero"/>
        <c:auto val="1"/>
        <c:lblAlgn val="ctr"/>
        <c:lblOffset val="100"/>
        <c:noMultiLvlLbl val="0"/>
      </c:catAx>
      <c:valAx>
        <c:axId val="1760751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751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</xdr:colOff>
      <xdr:row>12</xdr:row>
      <xdr:rowOff>47624</xdr:rowOff>
    </xdr:from>
    <xdr:to>
      <xdr:col>13</xdr:col>
      <xdr:colOff>447675</xdr:colOff>
      <xdr:row>29</xdr:row>
      <xdr:rowOff>180974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40EE0C4-E63C-CF36-23EB-416067D8D7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BFF38-8D01-4228-835D-93ADA1F5BB96}">
  <dimension ref="A1:AA113"/>
  <sheetViews>
    <sheetView tabSelected="1" workbookViewId="0">
      <pane xSplit="1" ySplit="1" topLeftCell="J2" activePane="bottomRight" state="frozen"/>
      <selection pane="topRight" activeCell="B1" sqref="B1"/>
      <selection pane="bottomLeft" activeCell="A2" sqref="A2"/>
      <selection pane="bottomRight" activeCell="O1" sqref="O1"/>
    </sheetView>
  </sheetViews>
  <sheetFormatPr defaultRowHeight="14.4" x14ac:dyDescent="0.3"/>
  <cols>
    <col min="1" max="1" width="13.5546875" customWidth="1"/>
    <col min="2" max="2" width="6.109375" bestFit="1" customWidth="1"/>
    <col min="3" max="3" width="14.44140625" style="3" bestFit="1" customWidth="1"/>
    <col min="4" max="4" width="14" style="3" bestFit="1" customWidth="1"/>
    <col min="5" max="5" width="13.88671875" style="3" bestFit="1" customWidth="1"/>
    <col min="6" max="6" width="14.5546875" style="2" bestFit="1" customWidth="1"/>
    <col min="7" max="7" width="12.88671875" style="2" bestFit="1" customWidth="1"/>
    <col min="8" max="8" width="13.5546875" bestFit="1" customWidth="1"/>
    <col min="9" max="9" width="13.5546875" customWidth="1"/>
    <col min="10" max="10" width="16" bestFit="1" customWidth="1"/>
    <col min="11" max="11" width="19.109375" customWidth="1"/>
    <col min="15" max="15" width="13.5546875" bestFit="1" customWidth="1"/>
    <col min="16" max="16" width="6.109375" bestFit="1" customWidth="1"/>
    <col min="17" max="17" width="14.33203125" style="3" bestFit="1" customWidth="1"/>
    <col min="18" max="18" width="13.88671875" style="3" bestFit="1" customWidth="1"/>
    <col min="19" max="19" width="13.77734375" style="3" bestFit="1" customWidth="1"/>
    <col min="20" max="20" width="16" style="2" bestFit="1" customWidth="1"/>
    <col min="21" max="21" width="14.33203125" style="2" bestFit="1" customWidth="1"/>
    <col min="22" max="22" width="13.5546875" style="2" bestFit="1" customWidth="1"/>
    <col min="23" max="24" width="12.77734375" style="2" bestFit="1" customWidth="1"/>
    <col min="25" max="25" width="19" style="2" bestFit="1" customWidth="1"/>
    <col min="26" max="26" width="23.88671875" style="2" bestFit="1" customWidth="1"/>
    <col min="27" max="27" width="11.21875" style="2" bestFit="1" customWidth="1"/>
  </cols>
  <sheetData>
    <row r="1" spans="1:11" x14ac:dyDescent="0.3">
      <c r="A1" s="9" t="s">
        <v>21</v>
      </c>
      <c r="B1" s="9" t="s">
        <v>1</v>
      </c>
      <c r="C1" s="10" t="s">
        <v>17</v>
      </c>
      <c r="D1" s="10" t="s">
        <v>18</v>
      </c>
      <c r="E1" s="10" t="s">
        <v>19</v>
      </c>
      <c r="F1" s="11" t="s">
        <v>10</v>
      </c>
      <c r="G1" s="11" t="s">
        <v>20</v>
      </c>
      <c r="H1" s="2"/>
      <c r="I1" s="12" t="s">
        <v>21</v>
      </c>
      <c r="J1" s="11" t="s">
        <v>27</v>
      </c>
      <c r="K1" s="11" t="s">
        <v>26</v>
      </c>
    </row>
    <row r="2" spans="1:11" x14ac:dyDescent="0.3">
      <c r="A2">
        <v>0</v>
      </c>
      <c r="B2" t="s">
        <v>11</v>
      </c>
      <c r="C2" s="3">
        <v>0.199999999996716</v>
      </c>
      <c r="D2" s="3">
        <v>9.8896081586013096E-2</v>
      </c>
      <c r="E2" s="3">
        <v>0.101103918410703</v>
      </c>
      <c r="F2" s="2">
        <v>132.98165981721101</v>
      </c>
      <c r="G2" s="2">
        <v>3.0917559082273298E-17</v>
      </c>
      <c r="H2" s="2"/>
      <c r="I2" s="7">
        <v>0</v>
      </c>
      <c r="J2" s="2">
        <f>SUMIFS($G$2:$G$56,$A$2:$A$56,$I2)</f>
        <v>10938.7787437925</v>
      </c>
      <c r="K2" s="2">
        <f>+SUMIFS($J$59:$J$113,$A$59:$A$113,$I2)</f>
        <v>14595.8611628161</v>
      </c>
    </row>
    <row r="3" spans="1:11" x14ac:dyDescent="0.3">
      <c r="A3">
        <v>0</v>
      </c>
      <c r="B3" t="s">
        <v>13</v>
      </c>
      <c r="C3" s="3">
        <v>0.19999999930895501</v>
      </c>
      <c r="D3" s="3">
        <v>0.44497119854177503</v>
      </c>
      <c r="E3" s="3">
        <v>-0.24497119923282001</v>
      </c>
      <c r="F3" s="2">
        <v>14595.8611628161</v>
      </c>
      <c r="G3" s="2">
        <v>10938.7787437925</v>
      </c>
      <c r="H3" s="2"/>
      <c r="I3" s="8">
        <f>+I2+0.1</f>
        <v>0.1</v>
      </c>
      <c r="J3" s="2">
        <f t="shared" ref="J3:J12" si="0">SUMIFS($G$2:$G$56,$A$2:$A$56,$I3)</f>
        <v>8857.0050499328609</v>
      </c>
      <c r="K3" s="2">
        <f t="shared" ref="K3:K12" si="1">+SUMIFS($J$59:$J$113,$A$59:$A$113,$I3)</f>
        <v>13136.2750465345</v>
      </c>
    </row>
    <row r="4" spans="1:11" x14ac:dyDescent="0.3">
      <c r="A4">
        <v>0</v>
      </c>
      <c r="B4" t="s">
        <v>14</v>
      </c>
      <c r="C4" s="3">
        <v>0.199999999628169</v>
      </c>
      <c r="D4" s="3">
        <v>0.147266447900811</v>
      </c>
      <c r="E4" s="3">
        <v>5.2733551727358399E-2</v>
      </c>
      <c r="F4" s="2">
        <v>2154.43522654754</v>
      </c>
      <c r="G4" s="2">
        <v>0</v>
      </c>
      <c r="H4" s="2"/>
      <c r="I4" s="8">
        <f t="shared" ref="I4:I12" si="2">+I3+0.1</f>
        <v>0.2</v>
      </c>
      <c r="J4" s="2">
        <f t="shared" si="0"/>
        <v>8353.8547020783317</v>
      </c>
      <c r="K4" s="2">
        <f t="shared" si="1"/>
        <v>11676.6889302529</v>
      </c>
    </row>
    <row r="5" spans="1:11" x14ac:dyDescent="0.3">
      <c r="A5">
        <v>0</v>
      </c>
      <c r="B5" t="s">
        <v>15</v>
      </c>
      <c r="C5" s="3">
        <v>0.19999999998934401</v>
      </c>
      <c r="D5" s="3">
        <v>0.115040900211256</v>
      </c>
      <c r="E5" s="3">
        <v>8.4959099778087493E-2</v>
      </c>
      <c r="F5" s="2">
        <v>807.69230769230705</v>
      </c>
      <c r="G5" s="2">
        <v>0</v>
      </c>
      <c r="H5" s="2"/>
      <c r="I5" s="8">
        <f t="shared" si="2"/>
        <v>0.30000000000000004</v>
      </c>
      <c r="J5" s="2">
        <f t="shared" si="0"/>
        <v>7657.1450255365571</v>
      </c>
      <c r="K5" s="2">
        <f t="shared" si="1"/>
        <v>10217.1028139713</v>
      </c>
    </row>
    <row r="6" spans="1:11" x14ac:dyDescent="0.3">
      <c r="A6">
        <v>0</v>
      </c>
      <c r="B6" t="s">
        <v>16</v>
      </c>
      <c r="C6" s="3">
        <v>0.20000000107681101</v>
      </c>
      <c r="D6" s="3">
        <v>0.193825371760143</v>
      </c>
      <c r="E6" s="3">
        <v>6.1746293166678699E-3</v>
      </c>
      <c r="F6" s="2">
        <v>4100.1865174527002</v>
      </c>
      <c r="G6" s="2">
        <v>0</v>
      </c>
      <c r="H6" s="2"/>
      <c r="I6" s="8">
        <f t="shared" si="2"/>
        <v>0.4</v>
      </c>
      <c r="J6" s="2">
        <f t="shared" si="0"/>
        <v>6563.2672366131001</v>
      </c>
      <c r="K6" s="2">
        <f t="shared" si="1"/>
        <v>8757.5166976896908</v>
      </c>
    </row>
    <row r="7" spans="1:11" x14ac:dyDescent="0.3">
      <c r="A7">
        <v>0.1</v>
      </c>
      <c r="B7" t="s">
        <v>11</v>
      </c>
      <c r="C7" s="3">
        <v>0.19999999982886199</v>
      </c>
      <c r="D7" s="3">
        <v>9.8896081586013096E-2</v>
      </c>
      <c r="E7" s="3">
        <v>0.10110391824284801</v>
      </c>
      <c r="F7" s="2">
        <v>132.98165981721101</v>
      </c>
      <c r="G7" s="2">
        <v>2.9290342403994497E-17</v>
      </c>
      <c r="H7" s="2"/>
      <c r="I7" s="8">
        <f t="shared" si="2"/>
        <v>0.5</v>
      </c>
      <c r="J7" s="2">
        <f t="shared" si="0"/>
        <v>5469.3893713712196</v>
      </c>
      <c r="K7" s="2">
        <f t="shared" si="1"/>
        <v>7297.9305814080699</v>
      </c>
    </row>
    <row r="8" spans="1:11" x14ac:dyDescent="0.3">
      <c r="A8">
        <v>0.1</v>
      </c>
      <c r="B8" t="s">
        <v>13</v>
      </c>
      <c r="C8" s="3">
        <v>0.19999996731557099</v>
      </c>
      <c r="D8" s="3">
        <v>0.44497119854177503</v>
      </c>
      <c r="E8" s="3">
        <v>-0.24497123122620401</v>
      </c>
      <c r="F8" s="2">
        <v>14595.8611628161</v>
      </c>
      <c r="G8" s="2">
        <v>8857.0050499328609</v>
      </c>
      <c r="H8" s="2"/>
      <c r="I8" s="8">
        <f t="shared" si="2"/>
        <v>0.6</v>
      </c>
      <c r="J8" s="2">
        <f t="shared" si="0"/>
        <v>4375.5114974603503</v>
      </c>
      <c r="K8" s="2">
        <f t="shared" si="1"/>
        <v>5838.3444651264599</v>
      </c>
    </row>
    <row r="9" spans="1:11" x14ac:dyDescent="0.3">
      <c r="A9">
        <v>0.1</v>
      </c>
      <c r="B9" t="s">
        <v>14</v>
      </c>
      <c r="C9" s="3">
        <v>0.19999998133184799</v>
      </c>
      <c r="D9" s="3">
        <v>0.147266447900811</v>
      </c>
      <c r="E9" s="3">
        <v>5.27335334310369E-2</v>
      </c>
      <c r="F9" s="2">
        <v>2154.43522654754</v>
      </c>
      <c r="G9" s="2">
        <v>1.99197181737384E-14</v>
      </c>
      <c r="H9" s="2"/>
      <c r="I9" s="8">
        <f t="shared" si="2"/>
        <v>0.7</v>
      </c>
      <c r="J9" s="2">
        <f t="shared" si="0"/>
        <v>3281.6336213093041</v>
      </c>
      <c r="K9" s="2">
        <f t="shared" si="1"/>
        <v>4378.7583488448399</v>
      </c>
    </row>
    <row r="10" spans="1:11" x14ac:dyDescent="0.3">
      <c r="A10">
        <v>0.1</v>
      </c>
      <c r="B10" t="s">
        <v>15</v>
      </c>
      <c r="C10" s="3">
        <v>0.19999999922651501</v>
      </c>
      <c r="D10" s="3">
        <v>0.115040900211256</v>
      </c>
      <c r="E10" s="3">
        <v>8.4959099015259096E-2</v>
      </c>
      <c r="F10" s="2">
        <v>807.69230769230705</v>
      </c>
      <c r="G10" s="2">
        <v>1.9475024580279299E-15</v>
      </c>
      <c r="H10" s="2"/>
      <c r="I10" s="8">
        <f t="shared" si="2"/>
        <v>0.79999999999999993</v>
      </c>
      <c r="J10" s="2">
        <f t="shared" si="0"/>
        <v>2187.7557486749906</v>
      </c>
      <c r="K10" s="2">
        <f t="shared" si="1"/>
        <v>2919.17223256323</v>
      </c>
    </row>
    <row r="11" spans="1:11" x14ac:dyDescent="0.3">
      <c r="A11">
        <v>0.1</v>
      </c>
      <c r="B11" t="s">
        <v>16</v>
      </c>
      <c r="C11" s="3">
        <v>0.200000052297203</v>
      </c>
      <c r="D11" s="3">
        <v>0.193825371760143</v>
      </c>
      <c r="E11" s="3">
        <v>6.1746805370593502E-3</v>
      </c>
      <c r="F11" s="2">
        <v>4100.1865174527002</v>
      </c>
      <c r="G11" s="2">
        <v>0</v>
      </c>
      <c r="H11" s="2"/>
      <c r="I11" s="8">
        <f t="shared" si="2"/>
        <v>0.89999999999999991</v>
      </c>
      <c r="J11" s="2">
        <f t="shared" si="0"/>
        <v>1093.877873253957</v>
      </c>
      <c r="K11" s="2">
        <f t="shared" si="1"/>
        <v>1459.58611628161</v>
      </c>
    </row>
    <row r="12" spans="1:11" x14ac:dyDescent="0.3">
      <c r="A12">
        <v>0.2</v>
      </c>
      <c r="B12" t="s">
        <v>11</v>
      </c>
      <c r="C12" s="3">
        <v>0.19999999989423101</v>
      </c>
      <c r="D12" s="3">
        <v>9.8896081586013096E-2</v>
      </c>
      <c r="E12" s="3">
        <v>0.10110391830821699</v>
      </c>
      <c r="F12" s="2">
        <v>132.98165981721101</v>
      </c>
      <c r="G12" s="2">
        <v>7.9895623340772394E-15</v>
      </c>
      <c r="H12" s="2"/>
      <c r="I12" s="8">
        <f t="shared" si="2"/>
        <v>0.99999999999999989</v>
      </c>
      <c r="J12" s="2">
        <f t="shared" si="0"/>
        <v>1.0527080746308263E-13</v>
      </c>
      <c r="K12" s="2">
        <f t="shared" si="1"/>
        <v>0</v>
      </c>
    </row>
    <row r="13" spans="1:11" x14ac:dyDescent="0.3">
      <c r="A13">
        <v>0.2</v>
      </c>
      <c r="B13" t="s">
        <v>13</v>
      </c>
      <c r="C13" s="3">
        <v>0.19999999102324101</v>
      </c>
      <c r="D13" s="3">
        <v>0.44497119854177503</v>
      </c>
      <c r="E13" s="3">
        <v>-0.24497120751853299</v>
      </c>
      <c r="F13" s="2">
        <v>14595.8611628161</v>
      </c>
      <c r="G13" s="2">
        <v>8353.8547020783299</v>
      </c>
      <c r="H13" s="2"/>
      <c r="I13" s="8"/>
      <c r="J13" s="4"/>
    </row>
    <row r="14" spans="1:11" x14ac:dyDescent="0.3">
      <c r="A14">
        <v>0.2</v>
      </c>
      <c r="B14" t="s">
        <v>14</v>
      </c>
      <c r="C14" s="3">
        <v>0.19999999333414301</v>
      </c>
      <c r="D14" s="3">
        <v>0.147266447900811</v>
      </c>
      <c r="E14" s="3">
        <v>5.2733545433332203E-2</v>
      </c>
      <c r="F14" s="2">
        <v>2154.43522654754</v>
      </c>
      <c r="G14" s="2">
        <v>2.1786034974658801E-12</v>
      </c>
      <c r="H14" s="2"/>
      <c r="I14" s="8"/>
      <c r="J14" s="4"/>
    </row>
    <row r="15" spans="1:11" x14ac:dyDescent="0.3">
      <c r="A15">
        <v>0.2</v>
      </c>
      <c r="B15" t="s">
        <v>15</v>
      </c>
      <c r="C15" s="3">
        <v>0.199999999304665</v>
      </c>
      <c r="D15" s="3">
        <v>0.115040900211256</v>
      </c>
      <c r="E15" s="3">
        <v>8.4959099093408999E-2</v>
      </c>
      <c r="F15" s="2">
        <v>807.69230769230705</v>
      </c>
      <c r="G15" s="2">
        <v>2.9974115259319501E-13</v>
      </c>
      <c r="H15" s="2"/>
      <c r="J15" s="4"/>
    </row>
    <row r="16" spans="1:11" x14ac:dyDescent="0.3">
      <c r="A16">
        <v>0.2</v>
      </c>
      <c r="B16" t="s">
        <v>16</v>
      </c>
      <c r="C16" s="3">
        <v>0.20000001644366999</v>
      </c>
      <c r="D16" s="3">
        <v>0.193825371760143</v>
      </c>
      <c r="E16" s="3">
        <v>6.1746446835264004E-3</v>
      </c>
      <c r="F16" s="2">
        <v>4100.1865174527002</v>
      </c>
      <c r="G16" s="2">
        <v>0</v>
      </c>
      <c r="H16" s="2"/>
      <c r="J16" s="4"/>
    </row>
    <row r="17" spans="1:10" x14ac:dyDescent="0.3">
      <c r="A17">
        <v>0.3</v>
      </c>
      <c r="B17" t="s">
        <v>11</v>
      </c>
      <c r="C17" s="3">
        <v>0.19970355645184601</v>
      </c>
      <c r="D17" s="3">
        <v>9.8896081586013096E-2</v>
      </c>
      <c r="E17" s="3">
        <v>0.100807474865832</v>
      </c>
      <c r="F17" s="2">
        <v>132.98165981721101</v>
      </c>
      <c r="G17" s="2">
        <v>9.8666354835654706E-14</v>
      </c>
      <c r="H17" s="2"/>
      <c r="J17" s="2"/>
    </row>
    <row r="18" spans="1:10" x14ac:dyDescent="0.3">
      <c r="A18">
        <v>0.3</v>
      </c>
      <c r="B18" t="s">
        <v>13</v>
      </c>
      <c r="C18" s="3">
        <v>0.21153454631999999</v>
      </c>
      <c r="D18" s="3">
        <v>0.44497119854177503</v>
      </c>
      <c r="E18" s="3">
        <v>-0.23343665222177401</v>
      </c>
      <c r="F18" s="2">
        <v>14595.8611628161</v>
      </c>
      <c r="G18" s="2">
        <v>7657.1450255365198</v>
      </c>
      <c r="H18" s="2"/>
      <c r="J18" s="2"/>
    </row>
    <row r="19" spans="1:10" x14ac:dyDescent="0.3">
      <c r="A19">
        <v>0.3</v>
      </c>
      <c r="B19" t="s">
        <v>14</v>
      </c>
      <c r="C19" s="3">
        <v>0.19754184989121101</v>
      </c>
      <c r="D19" s="3">
        <v>0.147266447900811</v>
      </c>
      <c r="E19" s="3">
        <v>5.0275401990400197E-2</v>
      </c>
      <c r="F19" s="2">
        <v>2154.43522654754</v>
      </c>
      <c r="G19" s="2">
        <v>2.5762406599624399E-11</v>
      </c>
      <c r="H19" s="2"/>
      <c r="J19" s="2"/>
    </row>
    <row r="20" spans="1:10" x14ac:dyDescent="0.3">
      <c r="A20">
        <v>0.3</v>
      </c>
      <c r="B20" t="s">
        <v>15</v>
      </c>
      <c r="C20" s="3">
        <v>0.197394654240892</v>
      </c>
      <c r="D20" s="3">
        <v>0.115040900211256</v>
      </c>
      <c r="E20" s="3">
        <v>8.23537540296361E-2</v>
      </c>
      <c r="F20" s="2">
        <v>807.69230769230705</v>
      </c>
      <c r="G20" s="2">
        <v>3.6273806621744299E-12</v>
      </c>
      <c r="H20" s="2"/>
      <c r="J20" s="2"/>
    </row>
    <row r="21" spans="1:10" x14ac:dyDescent="0.3">
      <c r="A21">
        <v>0.3</v>
      </c>
      <c r="B21" t="s">
        <v>16</v>
      </c>
      <c r="C21" s="3">
        <v>0.193825393095933</v>
      </c>
      <c r="D21" s="3">
        <v>0.193825371760143</v>
      </c>
      <c r="E21" s="3">
        <v>2.13357895517685E-8</v>
      </c>
      <c r="F21" s="2">
        <v>4100.1865174527002</v>
      </c>
      <c r="G21" s="2">
        <v>7.9166578711827205E-12</v>
      </c>
      <c r="H21" s="2"/>
      <c r="J21" s="2"/>
    </row>
    <row r="22" spans="1:10" x14ac:dyDescent="0.3">
      <c r="A22">
        <v>0.4</v>
      </c>
      <c r="B22" t="s">
        <v>11</v>
      </c>
      <c r="C22" s="3">
        <v>0.19832773440831999</v>
      </c>
      <c r="D22" s="3">
        <v>9.8896081586013096E-2</v>
      </c>
      <c r="E22" s="3">
        <v>9.9431652822307398E-2</v>
      </c>
      <c r="F22" s="2">
        <v>132.98165981721101</v>
      </c>
      <c r="G22" s="2">
        <v>9.9639673275195608E-15</v>
      </c>
      <c r="H22" s="2"/>
      <c r="J22" s="2"/>
    </row>
    <row r="23" spans="1:10" x14ac:dyDescent="0.3">
      <c r="A23">
        <v>0.4</v>
      </c>
      <c r="B23" t="s">
        <v>13</v>
      </c>
      <c r="C23" s="3">
        <v>0.24488263570138899</v>
      </c>
      <c r="D23" s="3">
        <v>0.44497119854177503</v>
      </c>
      <c r="E23" s="3">
        <v>-0.20008856284038601</v>
      </c>
      <c r="F23" s="2">
        <v>14595.8611628161</v>
      </c>
      <c r="G23" s="2">
        <v>6563.2672366131001</v>
      </c>
      <c r="H23" s="2"/>
      <c r="J23" s="2"/>
    </row>
    <row r="24" spans="1:10" x14ac:dyDescent="0.3">
      <c r="A24">
        <v>0.4</v>
      </c>
      <c r="B24" t="s">
        <v>14</v>
      </c>
      <c r="C24" s="3">
        <v>0.177289047936211</v>
      </c>
      <c r="D24" s="3">
        <v>0.147266447900811</v>
      </c>
      <c r="E24" s="3">
        <v>3.0022600035400301E-2</v>
      </c>
      <c r="F24" s="2">
        <v>2154.43522654754</v>
      </c>
      <c r="G24" s="2">
        <v>0</v>
      </c>
      <c r="H24" s="2"/>
      <c r="J24" s="2"/>
    </row>
    <row r="25" spans="1:10" x14ac:dyDescent="0.3">
      <c r="A25">
        <v>0.4</v>
      </c>
      <c r="B25" t="s">
        <v>15</v>
      </c>
      <c r="C25" s="3">
        <v>0.185675209826037</v>
      </c>
      <c r="D25" s="3">
        <v>0.115040900211256</v>
      </c>
      <c r="E25" s="3">
        <v>7.0634309614780594E-2</v>
      </c>
      <c r="F25" s="2">
        <v>807.69230769230705</v>
      </c>
      <c r="G25" s="2">
        <v>4.0707763762230299E-13</v>
      </c>
      <c r="H25" s="2"/>
      <c r="J25" s="2"/>
    </row>
    <row r="26" spans="1:10" x14ac:dyDescent="0.3">
      <c r="A26">
        <v>0.4</v>
      </c>
      <c r="B26" t="s">
        <v>16</v>
      </c>
      <c r="C26" s="3">
        <v>0.193825372128028</v>
      </c>
      <c r="D26" s="3">
        <v>0.193825371760143</v>
      </c>
      <c r="E26" s="3">
        <v>3.6788513901875299E-10</v>
      </c>
      <c r="F26" s="2">
        <v>4100.1865174527002</v>
      </c>
      <c r="G26" s="2">
        <v>3.2345942228191701E-13</v>
      </c>
      <c r="H26" s="2"/>
      <c r="J26" s="2"/>
    </row>
    <row r="27" spans="1:10" x14ac:dyDescent="0.3">
      <c r="A27">
        <v>0.5</v>
      </c>
      <c r="B27" t="s">
        <v>11</v>
      </c>
      <c r="C27" s="3">
        <v>0.196951911591978</v>
      </c>
      <c r="D27" s="3">
        <v>9.8896081586013096E-2</v>
      </c>
      <c r="E27" s="3">
        <v>9.80558300059651E-2</v>
      </c>
      <c r="F27" s="2">
        <v>132.98165981721101</v>
      </c>
      <c r="G27" s="2">
        <v>1.0692748802897699E-14</v>
      </c>
      <c r="H27" s="2"/>
      <c r="J27" s="2"/>
    </row>
    <row r="28" spans="1:10" x14ac:dyDescent="0.3">
      <c r="A28">
        <v>0.5</v>
      </c>
      <c r="B28" t="s">
        <v>13</v>
      </c>
      <c r="C28" s="3">
        <v>0.27823072906491603</v>
      </c>
      <c r="D28" s="3">
        <v>0.44497119854177503</v>
      </c>
      <c r="E28" s="3">
        <v>-0.166740469476858</v>
      </c>
      <c r="F28" s="2">
        <v>14595.8611628161</v>
      </c>
      <c r="G28" s="2">
        <v>5469.3893713712196</v>
      </c>
      <c r="H28" s="2"/>
      <c r="J28" s="2"/>
    </row>
    <row r="29" spans="1:10" x14ac:dyDescent="0.3">
      <c r="A29">
        <v>0.5</v>
      </c>
      <c r="B29" t="s">
        <v>14</v>
      </c>
      <c r="C29" s="3">
        <v>0.157036228388931</v>
      </c>
      <c r="D29" s="3">
        <v>0.147266447900811</v>
      </c>
      <c r="E29" s="3">
        <v>9.7697804881201594E-3</v>
      </c>
      <c r="F29" s="2">
        <v>2154.43522654754</v>
      </c>
      <c r="G29" s="2">
        <v>0</v>
      </c>
      <c r="H29" s="2"/>
      <c r="J29" s="2"/>
    </row>
    <row r="30" spans="1:10" x14ac:dyDescent="0.3">
      <c r="A30">
        <v>0.5</v>
      </c>
      <c r="B30" t="s">
        <v>15</v>
      </c>
      <c r="C30" s="3">
        <v>0.17395575917278899</v>
      </c>
      <c r="D30" s="3">
        <v>0.115040900211256</v>
      </c>
      <c r="E30" s="3">
        <v>5.8914858961532798E-2</v>
      </c>
      <c r="F30" s="2">
        <v>807.69230769230705</v>
      </c>
      <c r="G30" s="2">
        <v>3.6904849466496699E-13</v>
      </c>
      <c r="H30" s="2"/>
      <c r="J30" s="2"/>
    </row>
    <row r="31" spans="1:10" x14ac:dyDescent="0.3">
      <c r="A31">
        <v>0.5</v>
      </c>
      <c r="B31" t="s">
        <v>16</v>
      </c>
      <c r="C31" s="3">
        <v>0.193825371781367</v>
      </c>
      <c r="D31" s="3">
        <v>0.193825371760143</v>
      </c>
      <c r="E31" s="3">
        <v>2.1223550694671099E-11</v>
      </c>
      <c r="F31" s="2">
        <v>4100.1865174527002</v>
      </c>
      <c r="G31" s="2">
        <v>0</v>
      </c>
      <c r="H31" s="2"/>
      <c r="J31" s="2"/>
    </row>
    <row r="32" spans="1:10" x14ac:dyDescent="0.3">
      <c r="A32">
        <v>0.6</v>
      </c>
      <c r="B32" t="s">
        <v>11</v>
      </c>
      <c r="C32" s="3">
        <v>0.19261511652976501</v>
      </c>
      <c r="D32" s="3">
        <v>9.8896081586013096E-2</v>
      </c>
      <c r="E32" s="3">
        <v>9.3719034943752499E-2</v>
      </c>
      <c r="F32" s="2">
        <v>132.98165981721101</v>
      </c>
      <c r="G32" s="2">
        <v>1.23632176853318E-15</v>
      </c>
      <c r="H32" s="2"/>
      <c r="J32" s="2"/>
    </row>
    <row r="33" spans="1:13" x14ac:dyDescent="0.3">
      <c r="A33">
        <v>0.6</v>
      </c>
      <c r="B33" t="s">
        <v>13</v>
      </c>
      <c r="C33" s="3">
        <v>0.31157882289544098</v>
      </c>
      <c r="D33" s="3">
        <v>0.44497119854177503</v>
      </c>
      <c r="E33" s="3">
        <v>-0.13339237564633399</v>
      </c>
      <c r="F33" s="2">
        <v>14595.8611628161</v>
      </c>
      <c r="G33" s="2">
        <v>4375.5114974603503</v>
      </c>
      <c r="H33" s="2"/>
      <c r="J33" s="2"/>
    </row>
    <row r="34" spans="1:13" x14ac:dyDescent="0.3">
      <c r="A34">
        <v>0.6</v>
      </c>
      <c r="B34" t="s">
        <v>14</v>
      </c>
      <c r="C34" s="3">
        <v>0.14726644797253799</v>
      </c>
      <c r="D34" s="3">
        <v>0.147266447900811</v>
      </c>
      <c r="E34" s="3">
        <v>7.1727096484508402E-11</v>
      </c>
      <c r="F34" s="2">
        <v>2154.43522654754</v>
      </c>
      <c r="G34" s="2">
        <v>0</v>
      </c>
      <c r="H34" s="2"/>
      <c r="J34" s="2"/>
    </row>
    <row r="35" spans="1:13" x14ac:dyDescent="0.3">
      <c r="A35">
        <v>0.6</v>
      </c>
      <c r="B35" t="s">
        <v>15</v>
      </c>
      <c r="C35" s="3">
        <v>0.154714240841694</v>
      </c>
      <c r="D35" s="3">
        <v>0.115040900211256</v>
      </c>
      <c r="E35" s="3">
        <v>3.9673340630437703E-2</v>
      </c>
      <c r="F35" s="2">
        <v>807.69230769230705</v>
      </c>
      <c r="G35" s="2">
        <v>9.4342033619662306E-15</v>
      </c>
      <c r="H35" s="2"/>
      <c r="J35" s="2"/>
    </row>
    <row r="36" spans="1:13" x14ac:dyDescent="0.3">
      <c r="A36">
        <v>0.6</v>
      </c>
      <c r="B36" t="s">
        <v>16</v>
      </c>
      <c r="C36" s="3">
        <v>0.193825371760557</v>
      </c>
      <c r="D36" s="3">
        <v>0.193825371760143</v>
      </c>
      <c r="E36" s="3">
        <v>4.1425196606326098E-13</v>
      </c>
      <c r="F36" s="2">
        <v>4100.1865174527002</v>
      </c>
      <c r="G36" s="2">
        <v>0</v>
      </c>
      <c r="H36" s="2"/>
      <c r="J36" s="2"/>
    </row>
    <row r="37" spans="1:13" x14ac:dyDescent="0.3">
      <c r="A37">
        <v>0.7</v>
      </c>
      <c r="B37" t="s">
        <v>11</v>
      </c>
      <c r="C37" s="3">
        <v>0.18551881138578299</v>
      </c>
      <c r="D37" s="3">
        <v>9.8896081586013096E-2</v>
      </c>
      <c r="E37" s="3">
        <v>8.6622729799770301E-2</v>
      </c>
      <c r="F37" s="2">
        <v>132.98165981721101</v>
      </c>
      <c r="G37" s="2">
        <v>1.8842614500668999E-14</v>
      </c>
      <c r="H37" s="2"/>
      <c r="J37" s="2"/>
    </row>
    <row r="38" spans="1:13" x14ac:dyDescent="0.3">
      <c r="A38">
        <v>0.7</v>
      </c>
      <c r="B38" t="s">
        <v>13</v>
      </c>
      <c r="C38" s="3">
        <v>0.34492691697033301</v>
      </c>
      <c r="D38" s="3">
        <v>0.44497119854177503</v>
      </c>
      <c r="E38" s="3">
        <v>-0.100044281571441</v>
      </c>
      <c r="F38" s="2">
        <v>14595.8611628161</v>
      </c>
      <c r="G38" s="2">
        <v>3281.6336213093</v>
      </c>
      <c r="H38" s="2"/>
      <c r="J38" s="2"/>
    </row>
    <row r="39" spans="1:13" x14ac:dyDescent="0.3">
      <c r="A39">
        <v>0.7</v>
      </c>
      <c r="B39" t="s">
        <v>14</v>
      </c>
      <c r="C39" s="3">
        <v>0.14726644788957999</v>
      </c>
      <c r="D39" s="3">
        <v>0.147266447900811</v>
      </c>
      <c r="E39" s="3">
        <v>-1.1230766316927499E-11</v>
      </c>
      <c r="F39" s="2">
        <v>2154.43522654754</v>
      </c>
      <c r="G39" s="2">
        <v>0</v>
      </c>
      <c r="H39" s="2"/>
      <c r="J39" s="2"/>
    </row>
    <row r="40" spans="1:13" x14ac:dyDescent="0.3">
      <c r="A40">
        <v>0.7</v>
      </c>
      <c r="B40" t="s">
        <v>15</v>
      </c>
      <c r="C40" s="3">
        <v>0.128462452001842</v>
      </c>
      <c r="D40" s="3">
        <v>0.115040900211256</v>
      </c>
      <c r="E40" s="3">
        <v>1.3421551790586E-2</v>
      </c>
      <c r="F40" s="2">
        <v>807.69230769230705</v>
      </c>
      <c r="G40" s="2">
        <v>0</v>
      </c>
      <c r="H40" s="2"/>
      <c r="J40" s="2"/>
    </row>
    <row r="41" spans="1:13" x14ac:dyDescent="0.3">
      <c r="A41">
        <v>0.7</v>
      </c>
      <c r="B41" t="s">
        <v>16</v>
      </c>
      <c r="C41" s="3">
        <v>0.19382537175244499</v>
      </c>
      <c r="D41" s="3">
        <v>0.193825371760143</v>
      </c>
      <c r="E41" s="3">
        <v>-7.6979256302678307E-12</v>
      </c>
      <c r="F41" s="2">
        <v>4100.1865174527002</v>
      </c>
      <c r="G41" s="2">
        <v>4.0306956823799403E-12</v>
      </c>
      <c r="H41" s="2"/>
      <c r="J41" s="2"/>
    </row>
    <row r="42" spans="1:13" x14ac:dyDescent="0.3">
      <c r="A42">
        <v>0.8</v>
      </c>
      <c r="B42" t="s">
        <v>11</v>
      </c>
      <c r="C42" s="3">
        <v>0.16559226934146501</v>
      </c>
      <c r="D42" s="3">
        <v>9.8896081586013096E-2</v>
      </c>
      <c r="E42" s="3">
        <v>6.6696187755452802E-2</v>
      </c>
      <c r="F42" s="2">
        <v>132.98165981721101</v>
      </c>
      <c r="G42" s="2">
        <v>2.1808004159581601E-15</v>
      </c>
      <c r="H42" s="2"/>
      <c r="J42" s="2"/>
    </row>
    <row r="43" spans="1:13" x14ac:dyDescent="0.3">
      <c r="A43">
        <v>0.8</v>
      </c>
      <c r="B43" t="s">
        <v>13</v>
      </c>
      <c r="C43" s="3">
        <v>0.37827501071565001</v>
      </c>
      <c r="D43" s="3">
        <v>0.44497119854177503</v>
      </c>
      <c r="E43" s="3">
        <v>-6.6696187826125006E-2</v>
      </c>
      <c r="F43" s="2">
        <v>14595.8611628161</v>
      </c>
      <c r="G43" s="2">
        <v>2187.7557486749902</v>
      </c>
      <c r="H43" s="2"/>
      <c r="J43" s="2"/>
      <c r="M43" s="13"/>
    </row>
    <row r="44" spans="1:13" x14ac:dyDescent="0.3">
      <c r="A44">
        <v>0.8</v>
      </c>
      <c r="B44" t="s">
        <v>14</v>
      </c>
      <c r="C44" s="3">
        <v>0.14726644790638499</v>
      </c>
      <c r="D44" s="3">
        <v>0.147266447900811</v>
      </c>
      <c r="E44" s="3">
        <v>5.5745130733697498E-12</v>
      </c>
      <c r="F44" s="2">
        <v>2154.43522654754</v>
      </c>
      <c r="G44" s="2">
        <v>0</v>
      </c>
      <c r="H44" s="2"/>
      <c r="J44" s="2"/>
    </row>
    <row r="45" spans="1:13" x14ac:dyDescent="0.3">
      <c r="A45">
        <v>0.8</v>
      </c>
      <c r="B45" t="s">
        <v>15</v>
      </c>
      <c r="C45" s="3">
        <v>0.11504090027547501</v>
      </c>
      <c r="D45" s="3">
        <v>0.115040900211256</v>
      </c>
      <c r="E45" s="3">
        <v>6.4218658168968494E-11</v>
      </c>
      <c r="F45" s="2">
        <v>807.69230769230705</v>
      </c>
      <c r="G45" s="2">
        <v>0</v>
      </c>
      <c r="H45" s="2"/>
      <c r="J45" s="2"/>
    </row>
    <row r="46" spans="1:13" x14ac:dyDescent="0.3">
      <c r="A46">
        <v>0.8</v>
      </c>
      <c r="B46" t="s">
        <v>16</v>
      </c>
      <c r="C46" s="3">
        <v>0.19382537176101999</v>
      </c>
      <c r="D46" s="3">
        <v>0.193825371760143</v>
      </c>
      <c r="E46" s="3">
        <v>8.7690965600017898E-13</v>
      </c>
      <c r="F46" s="2">
        <v>4100.1865174527002</v>
      </c>
      <c r="G46" s="2">
        <v>6.2712708498348596E-13</v>
      </c>
      <c r="H46" s="2"/>
      <c r="J46" s="2"/>
    </row>
    <row r="47" spans="1:13" x14ac:dyDescent="0.3">
      <c r="A47">
        <v>0.9</v>
      </c>
      <c r="B47" t="s">
        <v>11</v>
      </c>
      <c r="C47" s="3">
        <v>0.13224417524246701</v>
      </c>
      <c r="D47" s="3">
        <v>9.8896081586013096E-2</v>
      </c>
      <c r="E47" s="3">
        <v>3.3348093656453998E-2</v>
      </c>
      <c r="F47" s="2">
        <v>132.98165981721101</v>
      </c>
      <c r="G47" s="2">
        <v>0</v>
      </c>
      <c r="H47" s="2"/>
      <c r="J47" s="2"/>
    </row>
    <row r="48" spans="1:13" x14ac:dyDescent="0.3">
      <c r="A48">
        <v>0.9</v>
      </c>
      <c r="B48" t="s">
        <v>13</v>
      </c>
      <c r="C48" s="3">
        <v>0.41162310465635199</v>
      </c>
      <c r="D48" s="3">
        <v>0.44497119854177503</v>
      </c>
      <c r="E48" s="3">
        <v>-3.3348093885422703E-2</v>
      </c>
      <c r="F48" s="2">
        <v>14595.8611628161</v>
      </c>
      <c r="G48" s="2">
        <v>1093.8778732539399</v>
      </c>
      <c r="H48" s="2"/>
      <c r="J48" s="2"/>
    </row>
    <row r="49" spans="1:11" x14ac:dyDescent="0.3">
      <c r="A49">
        <v>0.9</v>
      </c>
      <c r="B49" t="s">
        <v>14</v>
      </c>
      <c r="C49" s="3">
        <v>0.147266447958741</v>
      </c>
      <c r="D49" s="3">
        <v>0.147266447900811</v>
      </c>
      <c r="E49" s="3">
        <v>5.7930549246520897E-11</v>
      </c>
      <c r="F49" s="2">
        <v>2154.43522654754</v>
      </c>
      <c r="G49" s="2">
        <v>3.3382244050462501E-12</v>
      </c>
      <c r="H49" s="2"/>
      <c r="J49" s="2"/>
    </row>
    <row r="50" spans="1:11" x14ac:dyDescent="0.3">
      <c r="A50">
        <v>0.9</v>
      </c>
      <c r="B50" t="s">
        <v>15</v>
      </c>
      <c r="C50" s="3">
        <v>0.11504090040079799</v>
      </c>
      <c r="D50" s="3">
        <v>0.115040900211256</v>
      </c>
      <c r="E50" s="3">
        <v>1.89541202177956E-10</v>
      </c>
      <c r="F50" s="2">
        <v>807.69230769230705</v>
      </c>
      <c r="G50" s="2">
        <v>3.1064651592661699E-13</v>
      </c>
      <c r="H50" s="2"/>
      <c r="J50" s="2"/>
    </row>
    <row r="51" spans="1:11" x14ac:dyDescent="0.3">
      <c r="A51">
        <v>0.9</v>
      </c>
      <c r="B51" t="s">
        <v>16</v>
      </c>
      <c r="C51" s="3">
        <v>0.19382537174163</v>
      </c>
      <c r="D51" s="3">
        <v>0.193825371760143</v>
      </c>
      <c r="E51" s="3">
        <v>-1.8512746891019499E-11</v>
      </c>
      <c r="F51" s="2">
        <v>4100.1865174527002</v>
      </c>
      <c r="G51" s="2">
        <v>1.33571760328844E-11</v>
      </c>
      <c r="H51" s="2"/>
      <c r="J51" s="2"/>
    </row>
    <row r="52" spans="1:11" x14ac:dyDescent="0.3">
      <c r="A52">
        <v>1</v>
      </c>
      <c r="B52" t="s">
        <v>11</v>
      </c>
      <c r="C52" s="3">
        <v>9.8896081586011902E-2</v>
      </c>
      <c r="D52" s="3">
        <v>9.8896081586013096E-2</v>
      </c>
      <c r="E52" s="3">
        <v>-1.1934897514720399E-15</v>
      </c>
      <c r="F52" s="2">
        <v>132.98165981721101</v>
      </c>
      <c r="G52" s="2">
        <v>5.4774901654462197E-15</v>
      </c>
      <c r="H52" s="2"/>
      <c r="J52" s="2"/>
    </row>
    <row r="53" spans="1:11" x14ac:dyDescent="0.3">
      <c r="A53">
        <v>1</v>
      </c>
      <c r="B53" t="s">
        <v>13</v>
      </c>
      <c r="C53" s="3">
        <v>0.44497119854178002</v>
      </c>
      <c r="D53" s="3">
        <v>0.44497119854177503</v>
      </c>
      <c r="E53" s="3">
        <v>5.0515147620444599E-15</v>
      </c>
      <c r="F53" s="2">
        <v>14595.8611628161</v>
      </c>
      <c r="G53" s="2">
        <v>0</v>
      </c>
      <c r="H53" s="2"/>
      <c r="J53" s="2"/>
    </row>
    <row r="54" spans="1:11" x14ac:dyDescent="0.3">
      <c r="A54">
        <v>1</v>
      </c>
      <c r="B54" t="s">
        <v>14</v>
      </c>
      <c r="C54" s="3">
        <v>0.14726644790080801</v>
      </c>
      <c r="D54" s="3">
        <v>0.147266447900811</v>
      </c>
      <c r="E54" s="3">
        <v>-2.6922908347159999E-15</v>
      </c>
      <c r="F54" s="2">
        <v>2154.43522654754</v>
      </c>
      <c r="G54" s="2">
        <v>5.7171005633571604E-14</v>
      </c>
      <c r="H54" s="2"/>
      <c r="J54" s="2"/>
    </row>
    <row r="55" spans="1:11" x14ac:dyDescent="0.3">
      <c r="A55">
        <v>1</v>
      </c>
      <c r="B55" t="s">
        <v>15</v>
      </c>
      <c r="C55" s="3">
        <v>0.115040900211253</v>
      </c>
      <c r="D55" s="3">
        <v>0.115040900211256</v>
      </c>
      <c r="E55" s="3">
        <v>-3.2474023470285801E-15</v>
      </c>
      <c r="F55" s="2">
        <v>807.69230769230705</v>
      </c>
      <c r="G55" s="2">
        <v>3.2458736119032801E-14</v>
      </c>
      <c r="H55" s="2"/>
      <c r="J55" s="2"/>
    </row>
    <row r="56" spans="1:11" x14ac:dyDescent="0.3">
      <c r="A56">
        <v>1</v>
      </c>
      <c r="B56" t="s">
        <v>16</v>
      </c>
      <c r="C56" s="3">
        <v>0.193825371760145</v>
      </c>
      <c r="D56" s="3">
        <v>0.193825371760143</v>
      </c>
      <c r="E56" s="3">
        <v>1.5543122344752101E-15</v>
      </c>
      <c r="F56" s="2">
        <v>4100.1865174527002</v>
      </c>
      <c r="G56" s="2">
        <v>1.0163575545032E-14</v>
      </c>
      <c r="H56" s="2"/>
      <c r="J56" s="2"/>
    </row>
    <row r="58" spans="1:11" x14ac:dyDescent="0.3">
      <c r="A58" s="9" t="s">
        <v>21</v>
      </c>
      <c r="B58" s="9" t="s">
        <v>1</v>
      </c>
      <c r="C58" s="9" t="s">
        <v>17</v>
      </c>
      <c r="D58" s="9" t="s">
        <v>18</v>
      </c>
      <c r="E58" s="9" t="s">
        <v>19</v>
      </c>
      <c r="F58" s="9" t="s">
        <v>23</v>
      </c>
      <c r="G58" s="9" t="s">
        <v>24</v>
      </c>
      <c r="H58" s="11" t="s">
        <v>25</v>
      </c>
      <c r="I58" s="9" t="s">
        <v>10</v>
      </c>
      <c r="J58" s="11" t="s">
        <v>20</v>
      </c>
      <c r="K58" s="11" t="s">
        <v>22</v>
      </c>
    </row>
    <row r="59" spans="1:11" x14ac:dyDescent="0.3">
      <c r="A59">
        <v>0</v>
      </c>
      <c r="B59" t="s">
        <v>11</v>
      </c>
      <c r="C59" s="3">
        <v>0.199999999879759</v>
      </c>
      <c r="D59" s="3">
        <v>9.8896081586013096E-2</v>
      </c>
      <c r="E59" s="3">
        <v>0.101103918293745</v>
      </c>
      <c r="F59" s="2">
        <v>20664.908299086001</v>
      </c>
      <c r="G59" s="2">
        <v>21126.2485501148</v>
      </c>
      <c r="H59" s="2">
        <v>41791.156849200903</v>
      </c>
      <c r="I59" s="2">
        <v>132.98165981721101</v>
      </c>
      <c r="J59" s="2">
        <v>0</v>
      </c>
      <c r="K59" s="2">
        <v>0</v>
      </c>
    </row>
    <row r="60" spans="1:11" x14ac:dyDescent="0.3">
      <c r="A60">
        <v>0</v>
      </c>
      <c r="B60" t="s">
        <v>13</v>
      </c>
      <c r="C60" s="3">
        <v>0.19999997203515399</v>
      </c>
      <c r="D60" s="3">
        <v>0.44497119854177503</v>
      </c>
      <c r="E60" s="3">
        <v>-0.24497122650662101</v>
      </c>
      <c r="F60" s="2">
        <v>92979.305814080799</v>
      </c>
      <c r="G60" s="2">
        <v>-51188.1547831711</v>
      </c>
      <c r="H60" s="2">
        <v>41791.151030909597</v>
      </c>
      <c r="I60" s="2">
        <v>14595.8611628161</v>
      </c>
      <c r="J60" s="2">
        <v>14595.8611628161</v>
      </c>
      <c r="K60" s="2">
        <v>72979.305814080697</v>
      </c>
    </row>
    <row r="61" spans="1:11" x14ac:dyDescent="0.3">
      <c r="A61">
        <v>0</v>
      </c>
      <c r="B61" t="s">
        <v>14</v>
      </c>
      <c r="C61" s="3">
        <v>0.19999998474456199</v>
      </c>
      <c r="D61" s="3">
        <v>0.147266447900811</v>
      </c>
      <c r="E61" s="3">
        <v>5.27335368437509E-2</v>
      </c>
      <c r="F61" s="2">
        <v>30772.176132737699</v>
      </c>
      <c r="G61" s="2">
        <v>11018.977553876201</v>
      </c>
      <c r="H61" s="2">
        <v>41791.153686613899</v>
      </c>
      <c r="I61" s="2">
        <v>2154.43522654754</v>
      </c>
      <c r="J61" s="2">
        <v>0</v>
      </c>
      <c r="K61" s="2">
        <v>0</v>
      </c>
    </row>
    <row r="62" spans="1:11" x14ac:dyDescent="0.3">
      <c r="A62">
        <v>0</v>
      </c>
      <c r="B62" t="s">
        <v>15</v>
      </c>
      <c r="C62" s="3">
        <v>0.19999999955508599</v>
      </c>
      <c r="D62" s="3">
        <v>0.115040900211256</v>
      </c>
      <c r="E62" s="3">
        <v>8.49590993438291E-2</v>
      </c>
      <c r="F62" s="2">
        <v>24038.461538461499</v>
      </c>
      <c r="G62" s="2">
        <v>17752.695242897</v>
      </c>
      <c r="H62" s="2">
        <v>41791.156781358499</v>
      </c>
      <c r="I62" s="2">
        <v>807.69230769230705</v>
      </c>
      <c r="J62" s="2">
        <v>0</v>
      </c>
      <c r="K62" s="2">
        <v>0</v>
      </c>
    </row>
    <row r="63" spans="1:11" x14ac:dyDescent="0.3">
      <c r="A63">
        <v>0</v>
      </c>
      <c r="B63" t="s">
        <v>16</v>
      </c>
      <c r="C63" s="3">
        <v>0.20000004378543401</v>
      </c>
      <c r="D63" s="3">
        <v>0.193825371760143</v>
      </c>
      <c r="E63" s="3">
        <v>6.1746720252909802E-3</v>
      </c>
      <c r="F63" s="2">
        <v>40500.932587263502</v>
      </c>
      <c r="G63" s="2">
        <v>1290.2334362822301</v>
      </c>
      <c r="H63" s="2">
        <v>41791.166023545702</v>
      </c>
      <c r="I63" s="2">
        <v>4100.1865174527002</v>
      </c>
      <c r="J63" s="2">
        <v>0</v>
      </c>
      <c r="K63" s="2">
        <v>0</v>
      </c>
    </row>
    <row r="64" spans="1:11" x14ac:dyDescent="0.3">
      <c r="A64">
        <v>0.1</v>
      </c>
      <c r="B64" t="s">
        <v>11</v>
      </c>
      <c r="C64" s="3">
        <v>0.199999974263565</v>
      </c>
      <c r="D64" s="3">
        <v>9.8896081586013096E-2</v>
      </c>
      <c r="E64" s="3">
        <v>0.101103892677552</v>
      </c>
      <c r="F64" s="2">
        <v>20664.908299086001</v>
      </c>
      <c r="G64" s="2">
        <v>21126.2431974631</v>
      </c>
      <c r="H64" s="2">
        <v>41791.151496549101</v>
      </c>
      <c r="I64" s="2">
        <v>132.98165981721101</v>
      </c>
      <c r="J64" s="2">
        <v>0</v>
      </c>
      <c r="K64" s="2">
        <v>0</v>
      </c>
    </row>
    <row r="65" spans="1:11" x14ac:dyDescent="0.3">
      <c r="A65">
        <v>0.1</v>
      </c>
      <c r="B65" t="s">
        <v>13</v>
      </c>
      <c r="C65" s="3">
        <v>0.199994002779524</v>
      </c>
      <c r="D65" s="3">
        <v>0.44497119854177503</v>
      </c>
      <c r="E65" s="3">
        <v>-0.24497719576225099</v>
      </c>
      <c r="F65" s="2">
        <v>92979.305814080799</v>
      </c>
      <c r="G65" s="2">
        <v>-51189.402093663397</v>
      </c>
      <c r="H65" s="2">
        <v>41789.9037204173</v>
      </c>
      <c r="I65" s="2">
        <v>14595.8611628161</v>
      </c>
      <c r="J65" s="2">
        <v>13136.2750465345</v>
      </c>
      <c r="K65" s="2">
        <v>65681.375232672697</v>
      </c>
    </row>
    <row r="66" spans="1:11" x14ac:dyDescent="0.3">
      <c r="A66">
        <v>0.1</v>
      </c>
      <c r="B66" t="s">
        <v>14</v>
      </c>
      <c r="C66" s="3">
        <v>0.199996726848962</v>
      </c>
      <c r="D66" s="3">
        <v>0.147266447900811</v>
      </c>
      <c r="E66" s="3">
        <v>5.2730278948150897E-2</v>
      </c>
      <c r="F66" s="2">
        <v>30772.176132737699</v>
      </c>
      <c r="G66" s="2">
        <v>11018.296797745699</v>
      </c>
      <c r="H66" s="2">
        <v>41790.472930483404</v>
      </c>
      <c r="I66" s="2">
        <v>2154.43522654754</v>
      </c>
      <c r="J66" s="2">
        <v>0</v>
      </c>
      <c r="K66" s="2">
        <v>0</v>
      </c>
    </row>
    <row r="67" spans="1:11" x14ac:dyDescent="0.3">
      <c r="A67">
        <v>0.1</v>
      </c>
      <c r="B67" t="s">
        <v>15</v>
      </c>
      <c r="C67" s="3">
        <v>0.19999990436759699</v>
      </c>
      <c r="D67" s="3">
        <v>0.115040900211256</v>
      </c>
      <c r="E67" s="3">
        <v>8.4959004156340404E-2</v>
      </c>
      <c r="F67" s="2">
        <v>24038.461538461499</v>
      </c>
      <c r="G67" s="2">
        <v>17752.6753529206</v>
      </c>
      <c r="H67" s="2">
        <v>41791.136891382201</v>
      </c>
      <c r="I67" s="2">
        <v>807.69230769230705</v>
      </c>
      <c r="J67" s="2">
        <v>0</v>
      </c>
      <c r="K67" s="2">
        <v>0</v>
      </c>
    </row>
    <row r="68" spans="1:11" x14ac:dyDescent="0.3">
      <c r="A68">
        <v>0.1</v>
      </c>
      <c r="B68" t="s">
        <v>16</v>
      </c>
      <c r="C68" s="3">
        <v>0.20000939174035701</v>
      </c>
      <c r="D68" s="3">
        <v>0.193825371760143</v>
      </c>
      <c r="E68" s="3">
        <v>6.1840199802138101E-3</v>
      </c>
      <c r="F68" s="2">
        <v>40500.932587263502</v>
      </c>
      <c r="G68" s="2">
        <v>1292.1867455354</v>
      </c>
      <c r="H68" s="2">
        <v>41793.119332798902</v>
      </c>
      <c r="I68" s="2">
        <v>4100.1865174527002</v>
      </c>
      <c r="J68" s="2">
        <v>0</v>
      </c>
      <c r="K68" s="2">
        <v>0</v>
      </c>
    </row>
    <row r="69" spans="1:11" x14ac:dyDescent="0.3">
      <c r="A69">
        <v>0.2</v>
      </c>
      <c r="B69" t="s">
        <v>11</v>
      </c>
      <c r="C69" s="3">
        <v>0.19999997260635399</v>
      </c>
      <c r="D69" s="3">
        <v>9.8896081586013096E-2</v>
      </c>
      <c r="E69" s="3">
        <v>0.10110389102034099</v>
      </c>
      <c r="F69" s="2">
        <v>20664.908299086001</v>
      </c>
      <c r="G69" s="2">
        <v>21126.242851179199</v>
      </c>
      <c r="H69" s="2">
        <v>41791.151150265199</v>
      </c>
      <c r="I69" s="2">
        <v>132.98165981721101</v>
      </c>
      <c r="J69" s="2">
        <v>0</v>
      </c>
      <c r="K69" s="2">
        <v>0</v>
      </c>
    </row>
    <row r="70" spans="1:11" x14ac:dyDescent="0.3">
      <c r="A70">
        <v>0.2</v>
      </c>
      <c r="B70" t="s">
        <v>13</v>
      </c>
      <c r="C70" s="3">
        <v>0.19999362317386701</v>
      </c>
      <c r="D70" s="3">
        <v>0.44497119854177503</v>
      </c>
      <c r="E70" s="3">
        <v>-0.24497757536790801</v>
      </c>
      <c r="F70" s="2">
        <v>92979.305814080799</v>
      </c>
      <c r="G70" s="2">
        <v>-51189.481414461203</v>
      </c>
      <c r="H70" s="2">
        <v>41789.824399619501</v>
      </c>
      <c r="I70" s="2">
        <v>14595.8611628161</v>
      </c>
      <c r="J70" s="2">
        <v>11676.6889302529</v>
      </c>
      <c r="K70" s="2">
        <v>58383.444651264603</v>
      </c>
    </row>
    <row r="71" spans="1:11" x14ac:dyDescent="0.3">
      <c r="A71">
        <v>0.2</v>
      </c>
      <c r="B71" t="s">
        <v>14</v>
      </c>
      <c r="C71" s="3">
        <v>0.199996519109431</v>
      </c>
      <c r="D71" s="3">
        <v>0.147266447900811</v>
      </c>
      <c r="E71" s="3">
        <v>5.2730071208620603E-2</v>
      </c>
      <c r="F71" s="2">
        <v>30772.176132737699</v>
      </c>
      <c r="G71" s="2">
        <v>11018.2533893692</v>
      </c>
      <c r="H71" s="2">
        <v>41790.429522106897</v>
      </c>
      <c r="I71" s="2">
        <v>2154.43522654754</v>
      </c>
      <c r="J71" s="2">
        <v>0</v>
      </c>
      <c r="K71" s="2">
        <v>0</v>
      </c>
    </row>
    <row r="72" spans="1:11" x14ac:dyDescent="0.3">
      <c r="A72">
        <v>0.2</v>
      </c>
      <c r="B72" t="s">
        <v>15</v>
      </c>
      <c r="C72" s="3">
        <v>0.19999989812041799</v>
      </c>
      <c r="D72" s="3">
        <v>0.115040900211256</v>
      </c>
      <c r="E72" s="3">
        <v>8.4958997909161199E-2</v>
      </c>
      <c r="F72" s="2">
        <v>24038.461538461499</v>
      </c>
      <c r="G72" s="2">
        <v>17752.674047536399</v>
      </c>
      <c r="H72" s="2">
        <v>41791.135585997901</v>
      </c>
      <c r="I72" s="2">
        <v>807.69230769230705</v>
      </c>
      <c r="J72" s="2">
        <v>0</v>
      </c>
      <c r="K72" s="2">
        <v>0</v>
      </c>
    </row>
    <row r="73" spans="1:11" x14ac:dyDescent="0.3">
      <c r="A73">
        <v>0.2</v>
      </c>
      <c r="B73" t="s">
        <v>16</v>
      </c>
      <c r="C73" s="3">
        <v>0.20000998698992201</v>
      </c>
      <c r="D73" s="3">
        <v>0.193825371760143</v>
      </c>
      <c r="E73" s="3">
        <v>6.1846152297786996E-3</v>
      </c>
      <c r="F73" s="2">
        <v>40500.932587263502</v>
      </c>
      <c r="G73" s="2">
        <v>1292.31112637513</v>
      </c>
      <c r="H73" s="2">
        <v>41793.2437136386</v>
      </c>
      <c r="I73" s="2">
        <v>4100.1865174527002</v>
      </c>
      <c r="J73" s="2">
        <v>0</v>
      </c>
      <c r="K73" s="2">
        <v>0</v>
      </c>
    </row>
    <row r="74" spans="1:11" x14ac:dyDescent="0.3">
      <c r="A74">
        <v>0.3</v>
      </c>
      <c r="B74" t="s">
        <v>11</v>
      </c>
      <c r="C74" s="3">
        <v>0.19999999990936701</v>
      </c>
      <c r="D74" s="3">
        <v>9.8896081586013096E-2</v>
      </c>
      <c r="E74" s="3">
        <v>0.101103918323354</v>
      </c>
      <c r="F74" s="2">
        <v>20664.908299086001</v>
      </c>
      <c r="G74" s="2">
        <v>21126.248556301602</v>
      </c>
      <c r="H74" s="2">
        <v>41791.156855387599</v>
      </c>
      <c r="I74" s="2">
        <v>132.98165981721101</v>
      </c>
      <c r="J74" s="2">
        <v>0</v>
      </c>
      <c r="K74" s="2">
        <v>0</v>
      </c>
    </row>
    <row r="75" spans="1:11" x14ac:dyDescent="0.3">
      <c r="A75">
        <v>0.3</v>
      </c>
      <c r="B75" t="s">
        <v>13</v>
      </c>
      <c r="C75" s="3">
        <v>0.199999979021181</v>
      </c>
      <c r="D75" s="3">
        <v>0.44497119854177503</v>
      </c>
      <c r="E75" s="3">
        <v>-0.244971219520594</v>
      </c>
      <c r="F75" s="2">
        <v>92979.305814080799</v>
      </c>
      <c r="G75" s="2">
        <v>-51188.153323400402</v>
      </c>
      <c r="H75" s="2">
        <v>41791.152490680302</v>
      </c>
      <c r="I75" s="2">
        <v>14595.8611628161</v>
      </c>
      <c r="J75" s="2">
        <v>10217.1028139713</v>
      </c>
      <c r="K75" s="2">
        <v>51085.514069856501</v>
      </c>
    </row>
    <row r="76" spans="1:11" x14ac:dyDescent="0.3">
      <c r="A76">
        <v>0.3</v>
      </c>
      <c r="B76" t="s">
        <v>14</v>
      </c>
      <c r="C76" s="3">
        <v>0.19999998854516399</v>
      </c>
      <c r="D76" s="3">
        <v>0.147266447900811</v>
      </c>
      <c r="E76" s="3">
        <v>5.2733540644353302E-2</v>
      </c>
      <c r="F76" s="2">
        <v>30772.176132737699</v>
      </c>
      <c r="G76" s="2">
        <v>11018.978348033999</v>
      </c>
      <c r="H76" s="2">
        <v>41791.1544807717</v>
      </c>
      <c r="I76" s="2">
        <v>2154.43522654754</v>
      </c>
      <c r="J76" s="2">
        <v>0</v>
      </c>
      <c r="K76" s="2">
        <v>0</v>
      </c>
    </row>
    <row r="77" spans="1:11" x14ac:dyDescent="0.3">
      <c r="A77">
        <v>0.3</v>
      </c>
      <c r="B77" t="s">
        <v>15</v>
      </c>
      <c r="C77" s="3">
        <v>0.19999999966278101</v>
      </c>
      <c r="D77" s="3">
        <v>0.115040900211256</v>
      </c>
      <c r="E77" s="3">
        <v>8.4959099451524994E-2</v>
      </c>
      <c r="F77" s="2">
        <v>24038.461538461499</v>
      </c>
      <c r="G77" s="2">
        <v>17752.6952654007</v>
      </c>
      <c r="H77" s="2">
        <v>41791.156803862199</v>
      </c>
      <c r="I77" s="2">
        <v>807.69230769230705</v>
      </c>
      <c r="J77" s="2">
        <v>0</v>
      </c>
      <c r="K77" s="2">
        <v>0</v>
      </c>
    </row>
    <row r="78" spans="1:11" x14ac:dyDescent="0.3">
      <c r="A78">
        <v>0.3</v>
      </c>
      <c r="B78" t="s">
        <v>16</v>
      </c>
      <c r="C78" s="3">
        <v>0.20000003286151</v>
      </c>
      <c r="D78" s="3">
        <v>0.193825371760143</v>
      </c>
      <c r="E78" s="3">
        <v>6.1746611013669597E-3</v>
      </c>
      <c r="F78" s="2">
        <v>40500.932587263502</v>
      </c>
      <c r="G78" s="2">
        <v>1290.23115366512</v>
      </c>
      <c r="H78" s="2">
        <v>41791.163740928598</v>
      </c>
      <c r="I78" s="2">
        <v>4100.1865174527002</v>
      </c>
      <c r="J78" s="2">
        <v>0</v>
      </c>
      <c r="K78" s="2">
        <v>0</v>
      </c>
    </row>
    <row r="79" spans="1:11" x14ac:dyDescent="0.3">
      <c r="A79">
        <v>0.4</v>
      </c>
      <c r="B79" t="s">
        <v>11</v>
      </c>
      <c r="C79" s="3">
        <v>0.199999999912925</v>
      </c>
      <c r="D79" s="3">
        <v>9.8896081586013096E-2</v>
      </c>
      <c r="E79" s="3">
        <v>0.101103918326912</v>
      </c>
      <c r="F79" s="2">
        <v>20664.908299086001</v>
      </c>
      <c r="G79" s="2">
        <v>21126.248557045201</v>
      </c>
      <c r="H79" s="2">
        <v>41791.156856131201</v>
      </c>
      <c r="I79" s="2">
        <v>132.98165981721101</v>
      </c>
      <c r="J79" s="2">
        <v>0</v>
      </c>
      <c r="K79" s="2">
        <v>0</v>
      </c>
    </row>
    <row r="80" spans="1:11" x14ac:dyDescent="0.3">
      <c r="A80">
        <v>0.4</v>
      </c>
      <c r="B80" t="s">
        <v>13</v>
      </c>
      <c r="C80" s="3">
        <v>0.19999998040075401</v>
      </c>
      <c r="D80" s="3">
        <v>0.44497119854177503</v>
      </c>
      <c r="E80" s="3">
        <v>-0.24497121814101999</v>
      </c>
      <c r="F80" s="2">
        <v>92979.305814080799</v>
      </c>
      <c r="G80" s="2">
        <v>-51188.153035130497</v>
      </c>
      <c r="H80" s="2">
        <v>41791.1527789502</v>
      </c>
      <c r="I80" s="2">
        <v>14595.8611628161</v>
      </c>
      <c r="J80" s="2">
        <v>8757.5166976896908</v>
      </c>
      <c r="K80" s="2">
        <v>43787.583488448399</v>
      </c>
    </row>
    <row r="81" spans="1:11" x14ac:dyDescent="0.3">
      <c r="A81">
        <v>0.4</v>
      </c>
      <c r="B81" t="s">
        <v>14</v>
      </c>
      <c r="C81" s="3">
        <v>0.19999998925256299</v>
      </c>
      <c r="D81" s="3">
        <v>0.147266447900811</v>
      </c>
      <c r="E81" s="3">
        <v>5.2733541351751997E-2</v>
      </c>
      <c r="F81" s="2">
        <v>30772.176132737699</v>
      </c>
      <c r="G81" s="2">
        <v>11018.9784958491</v>
      </c>
      <c r="H81" s="2">
        <v>41791.154628586803</v>
      </c>
      <c r="I81" s="2">
        <v>2154.43522654754</v>
      </c>
      <c r="J81" s="2">
        <v>0</v>
      </c>
      <c r="K81" s="2">
        <v>0</v>
      </c>
    </row>
    <row r="82" spans="1:11" x14ac:dyDescent="0.3">
      <c r="A82">
        <v>0.4</v>
      </c>
      <c r="B82" t="s">
        <v>15</v>
      </c>
      <c r="C82" s="3">
        <v>0.199999999668872</v>
      </c>
      <c r="D82" s="3">
        <v>0.115040900211256</v>
      </c>
      <c r="E82" s="3">
        <v>8.4959099457615803E-2</v>
      </c>
      <c r="F82" s="2">
        <v>24038.461538461499</v>
      </c>
      <c r="G82" s="2">
        <v>17752.6952666734</v>
      </c>
      <c r="H82" s="2">
        <v>41791.156805134902</v>
      </c>
      <c r="I82" s="2">
        <v>807.69230769230705</v>
      </c>
      <c r="J82" s="2">
        <v>0</v>
      </c>
      <c r="K82" s="2">
        <v>0</v>
      </c>
    </row>
    <row r="83" spans="1:11" x14ac:dyDescent="0.3">
      <c r="A83">
        <v>0.4</v>
      </c>
      <c r="B83" t="s">
        <v>16</v>
      </c>
      <c r="C83" s="3">
        <v>0.20000003076487499</v>
      </c>
      <c r="D83" s="3">
        <v>0.193825371760143</v>
      </c>
      <c r="E83" s="3">
        <v>6.1746590047321304E-3</v>
      </c>
      <c r="F83" s="2">
        <v>40500.932587263502</v>
      </c>
      <c r="G83" s="2">
        <v>1290.23071556114</v>
      </c>
      <c r="H83" s="2">
        <v>41791.1633028246</v>
      </c>
      <c r="I83" s="2">
        <v>4100.1865174527002</v>
      </c>
      <c r="J83" s="2">
        <v>0</v>
      </c>
      <c r="K83" s="2">
        <v>0</v>
      </c>
    </row>
    <row r="84" spans="1:11" x14ac:dyDescent="0.3">
      <c r="A84">
        <v>0.5</v>
      </c>
      <c r="B84" t="s">
        <v>11</v>
      </c>
      <c r="C84" s="3">
        <v>0.199251714372498</v>
      </c>
      <c r="D84" s="3">
        <v>9.8896081586013096E-2</v>
      </c>
      <c r="E84" s="3">
        <v>0.100355632786485</v>
      </c>
      <c r="F84" s="2">
        <v>20664.908299086001</v>
      </c>
      <c r="G84" s="2">
        <v>20969.889965011302</v>
      </c>
      <c r="H84" s="2">
        <v>41634.798264097401</v>
      </c>
      <c r="I84" s="2">
        <v>132.98165981721101</v>
      </c>
      <c r="J84" s="2">
        <v>0</v>
      </c>
      <c r="K84" s="2">
        <v>0</v>
      </c>
    </row>
    <row r="85" spans="1:11" x14ac:dyDescent="0.3">
      <c r="A85">
        <v>0.5</v>
      </c>
      <c r="B85" t="s">
        <v>13</v>
      </c>
      <c r="C85" s="3">
        <v>0.22248568552265599</v>
      </c>
      <c r="D85" s="3">
        <v>0.44497119854177503</v>
      </c>
      <c r="E85" s="3">
        <v>-0.22248551301911801</v>
      </c>
      <c r="F85" s="2">
        <v>92979.305814080799</v>
      </c>
      <c r="G85" s="2">
        <v>-46489.6348842343</v>
      </c>
      <c r="H85" s="2">
        <v>46489.670929846397</v>
      </c>
      <c r="I85" s="2">
        <v>14595.8611628161</v>
      </c>
      <c r="J85" s="2">
        <v>7297.9305814080699</v>
      </c>
      <c r="K85" s="2">
        <v>36489.652907040298</v>
      </c>
    </row>
    <row r="86" spans="1:11" x14ac:dyDescent="0.3">
      <c r="A86">
        <v>0.5</v>
      </c>
      <c r="B86" t="s">
        <v>14</v>
      </c>
      <c r="C86" s="3">
        <v>0.19089010524772701</v>
      </c>
      <c r="D86" s="3">
        <v>0.147266447900811</v>
      </c>
      <c r="E86" s="3">
        <v>4.3623657346916797E-2</v>
      </c>
      <c r="F86" s="2">
        <v>30772.176132737699</v>
      </c>
      <c r="G86" s="2">
        <v>9115.4155380842003</v>
      </c>
      <c r="H86" s="2">
        <v>39887.591670821901</v>
      </c>
      <c r="I86" s="2">
        <v>2154.43522654754</v>
      </c>
      <c r="J86" s="2">
        <v>0</v>
      </c>
      <c r="K86" s="2">
        <v>0</v>
      </c>
    </row>
    <row r="87" spans="1:11" x14ac:dyDescent="0.3">
      <c r="A87">
        <v>0.5</v>
      </c>
      <c r="B87" t="s">
        <v>15</v>
      </c>
      <c r="C87" s="3">
        <v>0.19354581704996399</v>
      </c>
      <c r="D87" s="3">
        <v>0.115040900211256</v>
      </c>
      <c r="E87" s="3">
        <v>7.8504916838707806E-2</v>
      </c>
      <c r="F87" s="2">
        <v>24038.461538461499</v>
      </c>
      <c r="G87" s="2">
        <v>16404.056475061701</v>
      </c>
      <c r="H87" s="2">
        <v>40442.5180135232</v>
      </c>
      <c r="I87" s="2">
        <v>807.69230769230705</v>
      </c>
      <c r="J87" s="2">
        <v>0</v>
      </c>
      <c r="K87" s="2">
        <v>0</v>
      </c>
    </row>
    <row r="88" spans="1:11" x14ac:dyDescent="0.3">
      <c r="A88">
        <v>0.5</v>
      </c>
      <c r="B88" t="s">
        <v>16</v>
      </c>
      <c r="C88" s="3">
        <v>0.193826677807141</v>
      </c>
      <c r="D88" s="3">
        <v>0.193825371760143</v>
      </c>
      <c r="E88" s="3">
        <v>1.30604699752345E-6</v>
      </c>
      <c r="F88" s="2">
        <v>40500.932587263502</v>
      </c>
      <c r="G88" s="2">
        <v>0.27290607479517298</v>
      </c>
      <c r="H88" s="2">
        <v>40501.205493338297</v>
      </c>
      <c r="I88" s="2">
        <v>4100.1865174527002</v>
      </c>
      <c r="J88" s="2">
        <v>0</v>
      </c>
      <c r="K88" s="2">
        <v>0</v>
      </c>
    </row>
    <row r="89" spans="1:11" x14ac:dyDescent="0.3">
      <c r="A89">
        <v>0.6</v>
      </c>
      <c r="B89" t="s">
        <v>11</v>
      </c>
      <c r="C89" s="3">
        <v>0.19741595876177001</v>
      </c>
      <c r="D89" s="3">
        <v>9.8896081586013096E-2</v>
      </c>
      <c r="E89" s="3">
        <v>9.8519877175757303E-2</v>
      </c>
      <c r="F89" s="2">
        <v>20664.908299086001</v>
      </c>
      <c r="G89" s="2">
        <v>20586.298211456899</v>
      </c>
      <c r="H89" s="2">
        <v>41251.206510543001</v>
      </c>
      <c r="I89" s="2">
        <v>132.98165981721101</v>
      </c>
      <c r="J89" s="2">
        <v>0</v>
      </c>
      <c r="K89" s="2">
        <v>0</v>
      </c>
    </row>
    <row r="90" spans="1:11" x14ac:dyDescent="0.3">
      <c r="A90">
        <v>0.6</v>
      </c>
      <c r="B90" t="s">
        <v>13</v>
      </c>
      <c r="C90" s="3">
        <v>0.26698275225506801</v>
      </c>
      <c r="D90" s="3">
        <v>0.44497119854177503</v>
      </c>
      <c r="E90" s="3">
        <v>-0.17798844628670599</v>
      </c>
      <c r="F90" s="2">
        <v>92979.305814080799</v>
      </c>
      <c r="G90" s="2">
        <v>-37191.7154029265</v>
      </c>
      <c r="H90" s="2">
        <v>55787.590411154197</v>
      </c>
      <c r="I90" s="2">
        <v>14595.8611628161</v>
      </c>
      <c r="J90" s="2">
        <v>5838.3444651264599</v>
      </c>
      <c r="K90" s="2">
        <v>29191.722325632301</v>
      </c>
    </row>
    <row r="91" spans="1:11" x14ac:dyDescent="0.3">
      <c r="A91">
        <v>0.6</v>
      </c>
      <c r="B91" t="s">
        <v>14</v>
      </c>
      <c r="C91" s="3">
        <v>0.16386719130781799</v>
      </c>
      <c r="D91" s="3">
        <v>0.147266447900811</v>
      </c>
      <c r="E91" s="3">
        <v>1.66007434070077E-2</v>
      </c>
      <c r="F91" s="2">
        <v>30772.176132737699</v>
      </c>
      <c r="G91" s="2">
        <v>3468.8213597634599</v>
      </c>
      <c r="H91" s="2">
        <v>34240.997492501097</v>
      </c>
      <c r="I91" s="2">
        <v>2154.43522654754</v>
      </c>
      <c r="J91" s="2">
        <v>0</v>
      </c>
      <c r="K91" s="2">
        <v>0</v>
      </c>
    </row>
    <row r="92" spans="1:11" x14ac:dyDescent="0.3">
      <c r="A92">
        <v>0.6</v>
      </c>
      <c r="B92" t="s">
        <v>15</v>
      </c>
      <c r="C92" s="3">
        <v>0.17790858054237099</v>
      </c>
      <c r="D92" s="3">
        <v>0.115040900211256</v>
      </c>
      <c r="E92" s="3">
        <v>6.2867680331114104E-2</v>
      </c>
      <c r="F92" s="2">
        <v>24038.461538461499</v>
      </c>
      <c r="G92" s="2">
        <v>13136.5654552128</v>
      </c>
      <c r="H92" s="2">
        <v>37175.026993674299</v>
      </c>
      <c r="I92" s="2">
        <v>807.69230769230705</v>
      </c>
      <c r="J92" s="2">
        <v>0</v>
      </c>
      <c r="K92" s="2">
        <v>0</v>
      </c>
    </row>
    <row r="93" spans="1:11" x14ac:dyDescent="0.3">
      <c r="A93">
        <v>0.6</v>
      </c>
      <c r="B93" t="s">
        <v>16</v>
      </c>
      <c r="C93" s="3">
        <v>0.193825517132971</v>
      </c>
      <c r="D93" s="3">
        <v>0.193825371760143</v>
      </c>
      <c r="E93" s="3">
        <v>1.4537282738702401E-7</v>
      </c>
      <c r="F93" s="2">
        <v>40500.932587263502</v>
      </c>
      <c r="G93" s="2">
        <v>3.0376493174117E-2</v>
      </c>
      <c r="H93" s="2">
        <v>40500.962963756698</v>
      </c>
      <c r="I93" s="2">
        <v>4100.1865174527002</v>
      </c>
      <c r="J93" s="2">
        <v>0</v>
      </c>
      <c r="K93" s="2">
        <v>0</v>
      </c>
    </row>
    <row r="94" spans="1:11" x14ac:dyDescent="0.3">
      <c r="A94">
        <v>0.7</v>
      </c>
      <c r="B94" t="s">
        <v>11</v>
      </c>
      <c r="C94" s="3">
        <v>0.19263611495421701</v>
      </c>
      <c r="D94" s="3">
        <v>9.8896081586013096E-2</v>
      </c>
      <c r="E94" s="3">
        <v>9.37400333682048E-2</v>
      </c>
      <c r="F94" s="2">
        <v>20664.908299086001</v>
      </c>
      <c r="G94" s="2">
        <v>19587.522199475901</v>
      </c>
      <c r="H94" s="2">
        <v>40252.430498561997</v>
      </c>
      <c r="I94" s="2">
        <v>132.98165981721101</v>
      </c>
      <c r="J94" s="2">
        <v>0</v>
      </c>
      <c r="K94" s="2">
        <v>0</v>
      </c>
    </row>
    <row r="95" spans="1:11" x14ac:dyDescent="0.3">
      <c r="A95">
        <v>0.7</v>
      </c>
      <c r="B95" t="s">
        <v>13</v>
      </c>
      <c r="C95" s="3">
        <v>0.31147984065998902</v>
      </c>
      <c r="D95" s="3">
        <v>0.44497119854177503</v>
      </c>
      <c r="E95" s="3">
        <v>-0.13349135788178501</v>
      </c>
      <c r="F95" s="2">
        <v>92979.305814080799</v>
      </c>
      <c r="G95" s="2">
        <v>-27893.791393022399</v>
      </c>
      <c r="H95" s="2">
        <v>65085.514421058302</v>
      </c>
      <c r="I95" s="2">
        <v>14595.8611628161</v>
      </c>
      <c r="J95" s="2">
        <v>4378.7583488448399</v>
      </c>
      <c r="K95" s="2">
        <v>21893.7917442242</v>
      </c>
    </row>
    <row r="96" spans="1:11" x14ac:dyDescent="0.3">
      <c r="A96">
        <v>0.7</v>
      </c>
      <c r="B96" t="s">
        <v>14</v>
      </c>
      <c r="C96" s="3">
        <v>0.14726667002745999</v>
      </c>
      <c r="D96" s="3">
        <v>0.147266447900811</v>
      </c>
      <c r="E96" s="3">
        <v>2.2212664946286101E-7</v>
      </c>
      <c r="F96" s="2">
        <v>30772.176132737699</v>
      </c>
      <c r="G96" s="2">
        <v>4.6414648266363601E-2</v>
      </c>
      <c r="H96" s="2">
        <v>30772.2225473859</v>
      </c>
      <c r="I96" s="2">
        <v>2154.43522654754</v>
      </c>
      <c r="J96" s="2">
        <v>0</v>
      </c>
      <c r="K96" s="2">
        <v>0</v>
      </c>
    </row>
    <row r="97" spans="1:11" x14ac:dyDescent="0.3">
      <c r="A97">
        <v>0.7</v>
      </c>
      <c r="B97" t="s">
        <v>15</v>
      </c>
      <c r="C97" s="3">
        <v>0.15479199668263499</v>
      </c>
      <c r="D97" s="3">
        <v>0.115040900211256</v>
      </c>
      <c r="E97" s="3">
        <v>3.9751096471378602E-2</v>
      </c>
      <c r="F97" s="2">
        <v>24038.461538461499</v>
      </c>
      <c r="G97" s="2">
        <v>8306.2215428092495</v>
      </c>
      <c r="H97" s="2">
        <v>32344.683081270701</v>
      </c>
      <c r="I97" s="2">
        <v>807.69230769230705</v>
      </c>
      <c r="J97" s="2">
        <v>0</v>
      </c>
      <c r="K97" s="2">
        <v>0</v>
      </c>
    </row>
    <row r="98" spans="1:11" x14ac:dyDescent="0.3">
      <c r="A98">
        <v>0.7</v>
      </c>
      <c r="B98" t="s">
        <v>16</v>
      </c>
      <c r="C98" s="3">
        <v>0.19382537767567601</v>
      </c>
      <c r="D98" s="3">
        <v>0.193825371760143</v>
      </c>
      <c r="E98" s="3">
        <v>5.91553270257172E-9</v>
      </c>
      <c r="F98" s="2">
        <v>40500.932587263502</v>
      </c>
      <c r="G98" s="2">
        <v>1.2360847758827701E-3</v>
      </c>
      <c r="H98" s="2">
        <v>40500.933823348299</v>
      </c>
      <c r="I98" s="2">
        <v>4100.1865174527002</v>
      </c>
      <c r="J98" s="2">
        <v>0</v>
      </c>
      <c r="K98" s="2">
        <v>0</v>
      </c>
    </row>
    <row r="99" spans="1:11" x14ac:dyDescent="0.3">
      <c r="A99">
        <v>0.8</v>
      </c>
      <c r="B99" t="s">
        <v>11</v>
      </c>
      <c r="C99" s="3">
        <v>0.18316740798044601</v>
      </c>
      <c r="D99" s="3">
        <v>9.8896081586013096E-2</v>
      </c>
      <c r="E99" s="3">
        <v>8.4271326394433396E-2</v>
      </c>
      <c r="F99" s="2">
        <v>20664.908299086001</v>
      </c>
      <c r="G99" s="2">
        <v>17608.981106786399</v>
      </c>
      <c r="H99" s="2">
        <v>38273.889405872498</v>
      </c>
      <c r="I99" s="2">
        <v>132.98165981721101</v>
      </c>
      <c r="J99" s="2">
        <v>0</v>
      </c>
      <c r="K99" s="2">
        <v>0</v>
      </c>
    </row>
    <row r="100" spans="1:11" x14ac:dyDescent="0.3">
      <c r="A100">
        <v>0.8</v>
      </c>
      <c r="B100" t="s">
        <v>13</v>
      </c>
      <c r="C100" s="3">
        <v>0.35597696129156098</v>
      </c>
      <c r="D100" s="3">
        <v>0.44497119854177503</v>
      </c>
      <c r="E100" s="3">
        <v>-8.8994237250213701E-2</v>
      </c>
      <c r="F100" s="2">
        <v>92979.305814080799</v>
      </c>
      <c r="G100" s="2">
        <v>-18595.860649173199</v>
      </c>
      <c r="H100" s="2">
        <v>74383.445164907505</v>
      </c>
      <c r="I100" s="2">
        <v>14595.8611628161</v>
      </c>
      <c r="J100" s="2">
        <v>2919.17223256323</v>
      </c>
      <c r="K100" s="2">
        <v>14595.8611628161</v>
      </c>
    </row>
    <row r="101" spans="1:11" x14ac:dyDescent="0.3">
      <c r="A101">
        <v>0.8</v>
      </c>
      <c r="B101" t="s">
        <v>14</v>
      </c>
      <c r="C101" s="3">
        <v>0.14726647833788201</v>
      </c>
      <c r="D101" s="3">
        <v>0.147266447900811</v>
      </c>
      <c r="E101" s="3">
        <v>3.0437071474320698E-8</v>
      </c>
      <c r="F101" s="2">
        <v>30772.176132737699</v>
      </c>
      <c r="G101" s="2">
        <v>6.3600021421734701E-3</v>
      </c>
      <c r="H101" s="2">
        <v>30772.182492739801</v>
      </c>
      <c r="I101" s="2">
        <v>2154.43522654754</v>
      </c>
      <c r="J101" s="2">
        <v>0</v>
      </c>
      <c r="K101" s="2">
        <v>0</v>
      </c>
    </row>
    <row r="102" spans="1:11" x14ac:dyDescent="0.3">
      <c r="A102">
        <v>0.8</v>
      </c>
      <c r="B102" t="s">
        <v>15</v>
      </c>
      <c r="C102" s="3">
        <v>0.119763775455011</v>
      </c>
      <c r="D102" s="3">
        <v>0.115040900211256</v>
      </c>
      <c r="E102" s="3">
        <v>4.72287524375457E-3</v>
      </c>
      <c r="F102" s="2">
        <v>24038.461538461499</v>
      </c>
      <c r="G102" s="2">
        <v>986.87210104809105</v>
      </c>
      <c r="H102" s="2">
        <v>25025.333639509601</v>
      </c>
      <c r="I102" s="2">
        <v>807.69230769230705</v>
      </c>
      <c r="J102" s="2">
        <v>0</v>
      </c>
      <c r="K102" s="2">
        <v>0</v>
      </c>
    </row>
    <row r="103" spans="1:11" x14ac:dyDescent="0.3">
      <c r="A103">
        <v>0.8</v>
      </c>
      <c r="B103" t="s">
        <v>16</v>
      </c>
      <c r="C103" s="3">
        <v>0.19382537693509799</v>
      </c>
      <c r="D103" s="3">
        <v>0.193825371760143</v>
      </c>
      <c r="E103" s="3">
        <v>5.1749543539258897E-9</v>
      </c>
      <c r="F103" s="2">
        <v>40500.932587263502</v>
      </c>
      <c r="G103" s="2">
        <v>1.0813366461661601E-3</v>
      </c>
      <c r="H103" s="2">
        <v>40500.933668600097</v>
      </c>
      <c r="I103" s="2">
        <v>4100.1865174527002</v>
      </c>
      <c r="J103" s="2">
        <v>0</v>
      </c>
      <c r="K103" s="2">
        <v>0</v>
      </c>
    </row>
    <row r="104" spans="1:11" x14ac:dyDescent="0.3">
      <c r="A104">
        <v>0.9</v>
      </c>
      <c r="B104" t="s">
        <v>11</v>
      </c>
      <c r="C104" s="3">
        <v>0.14339320105311501</v>
      </c>
      <c r="D104" s="3">
        <v>9.8896081586013096E-2</v>
      </c>
      <c r="E104" s="3">
        <v>4.4497119467102497E-2</v>
      </c>
      <c r="F104" s="2">
        <v>20664.908299086001</v>
      </c>
      <c r="G104" s="2">
        <v>9297.9305005265105</v>
      </c>
      <c r="H104" s="2">
        <v>29962.838799612498</v>
      </c>
      <c r="I104" s="2">
        <v>132.98165981721101</v>
      </c>
      <c r="J104" s="2">
        <v>0</v>
      </c>
      <c r="K104" s="2">
        <v>0</v>
      </c>
    </row>
    <row r="105" spans="1:11" x14ac:dyDescent="0.3">
      <c r="A105">
        <v>0.9</v>
      </c>
      <c r="B105" t="s">
        <v>13</v>
      </c>
      <c r="C105" s="3">
        <v>0.40047407875557001</v>
      </c>
      <c r="D105" s="3">
        <v>0.44497119854177503</v>
      </c>
      <c r="E105" s="3">
        <v>-4.4497119786204797E-2</v>
      </c>
      <c r="F105" s="2">
        <v>92979.305814080799</v>
      </c>
      <c r="G105" s="2">
        <v>-9297.9305672047903</v>
      </c>
      <c r="H105" s="2">
        <v>83681.375246876007</v>
      </c>
      <c r="I105" s="2">
        <v>14595.8611628161</v>
      </c>
      <c r="J105" s="2">
        <v>1459.58611628161</v>
      </c>
      <c r="K105" s="2">
        <v>7297.9305814080599</v>
      </c>
    </row>
    <row r="106" spans="1:11" x14ac:dyDescent="0.3">
      <c r="A106">
        <v>0.9</v>
      </c>
      <c r="B106" t="s">
        <v>14</v>
      </c>
      <c r="C106" s="3">
        <v>0.14726644800758601</v>
      </c>
      <c r="D106" s="3">
        <v>0.147266447900811</v>
      </c>
      <c r="E106" s="3">
        <v>1.06775421837568E-10</v>
      </c>
      <c r="F106" s="2">
        <v>30772.176132737699</v>
      </c>
      <c r="G106" s="2">
        <v>2.23113383981399E-5</v>
      </c>
      <c r="H106" s="2">
        <v>30772.176155049001</v>
      </c>
      <c r="I106" s="2">
        <v>2154.43522654754</v>
      </c>
      <c r="J106" s="2">
        <v>0</v>
      </c>
      <c r="K106" s="2">
        <v>0</v>
      </c>
    </row>
    <row r="107" spans="1:11" x14ac:dyDescent="0.3">
      <c r="A107">
        <v>0.9</v>
      </c>
      <c r="B107" t="s">
        <v>15</v>
      </c>
      <c r="C107" s="3">
        <v>0.115040900351569</v>
      </c>
      <c r="D107" s="3">
        <v>0.115040900211256</v>
      </c>
      <c r="E107" s="3">
        <v>1.4031230344269101E-10</v>
      </c>
      <c r="F107" s="2">
        <v>24038.461538461499</v>
      </c>
      <c r="G107" s="2">
        <v>2.93190678348764E-5</v>
      </c>
      <c r="H107" s="2">
        <v>24038.4615677806</v>
      </c>
      <c r="I107" s="2">
        <v>807.69230769230705</v>
      </c>
      <c r="J107" s="2">
        <v>0</v>
      </c>
      <c r="K107" s="2">
        <v>0</v>
      </c>
    </row>
    <row r="108" spans="1:11" x14ac:dyDescent="0.3">
      <c r="A108">
        <v>0.9</v>
      </c>
      <c r="B108" t="s">
        <v>16</v>
      </c>
      <c r="C108" s="3">
        <v>0.19382537183215801</v>
      </c>
      <c r="D108" s="3">
        <v>0.193825371760143</v>
      </c>
      <c r="E108" s="3">
        <v>7.2014672003461997E-11</v>
      </c>
      <c r="F108" s="2">
        <v>40500.932587263502</v>
      </c>
      <c r="G108" s="2">
        <v>1.5047880879137601E-5</v>
      </c>
      <c r="H108" s="2">
        <v>40500.932602311397</v>
      </c>
      <c r="I108" s="2">
        <v>4100.1865174527002</v>
      </c>
      <c r="J108" s="2">
        <v>0</v>
      </c>
      <c r="K108" s="2">
        <v>0</v>
      </c>
    </row>
    <row r="109" spans="1:11" x14ac:dyDescent="0.3">
      <c r="A109">
        <v>1</v>
      </c>
      <c r="B109" t="s">
        <v>11</v>
      </c>
      <c r="C109" s="3">
        <v>9.8896081586013096E-2</v>
      </c>
      <c r="D109" s="3">
        <v>9.8896081586013096E-2</v>
      </c>
      <c r="E109" s="3">
        <v>0</v>
      </c>
      <c r="F109" s="2">
        <v>20664.908299086001</v>
      </c>
      <c r="G109" s="2">
        <v>0</v>
      </c>
      <c r="H109" s="2">
        <v>20664.908299086001</v>
      </c>
      <c r="I109" s="2">
        <v>132.98165981721101</v>
      </c>
      <c r="J109" s="2">
        <v>0</v>
      </c>
      <c r="K109" s="2">
        <v>0</v>
      </c>
    </row>
    <row r="110" spans="1:11" x14ac:dyDescent="0.3">
      <c r="A110">
        <v>1</v>
      </c>
      <c r="B110" t="s">
        <v>13</v>
      </c>
      <c r="C110" s="3">
        <v>0.44497119854177503</v>
      </c>
      <c r="D110" s="3">
        <v>0.44497119854177503</v>
      </c>
      <c r="E110" s="3">
        <v>0</v>
      </c>
      <c r="F110" s="2">
        <v>92979.305814080799</v>
      </c>
      <c r="G110" s="2">
        <v>0</v>
      </c>
      <c r="H110" s="2">
        <v>92979.305814080799</v>
      </c>
      <c r="I110" s="2">
        <v>14595.8611628161</v>
      </c>
      <c r="J110" s="2">
        <v>0</v>
      </c>
      <c r="K110" s="2">
        <v>0</v>
      </c>
    </row>
    <row r="111" spans="1:11" x14ac:dyDescent="0.3">
      <c r="A111">
        <v>1</v>
      </c>
      <c r="B111" t="s">
        <v>14</v>
      </c>
      <c r="C111" s="3">
        <v>0.147266447900811</v>
      </c>
      <c r="D111" s="3">
        <v>0.147266447900811</v>
      </c>
      <c r="E111" s="3">
        <v>0</v>
      </c>
      <c r="F111" s="2">
        <v>30772.176132737699</v>
      </c>
      <c r="G111" s="2">
        <v>-3.6379788070917101E-12</v>
      </c>
      <c r="H111" s="2">
        <v>30772.176132737699</v>
      </c>
      <c r="I111" s="2">
        <v>2154.43522654754</v>
      </c>
      <c r="J111" s="2">
        <v>0</v>
      </c>
      <c r="K111" s="2">
        <v>0</v>
      </c>
    </row>
    <row r="112" spans="1:11" x14ac:dyDescent="0.3">
      <c r="A112">
        <v>1</v>
      </c>
      <c r="B112" t="s">
        <v>15</v>
      </c>
      <c r="C112" s="3">
        <v>0.115040900211256</v>
      </c>
      <c r="D112" s="3">
        <v>0.115040900211256</v>
      </c>
      <c r="E112" s="3">
        <v>0</v>
      </c>
      <c r="F112" s="2">
        <v>24038.461538461499</v>
      </c>
      <c r="G112" s="2">
        <v>0</v>
      </c>
      <c r="H112" s="2">
        <v>24038.461538461499</v>
      </c>
      <c r="I112" s="2">
        <v>807.69230769230705</v>
      </c>
      <c r="J112" s="2">
        <v>0</v>
      </c>
      <c r="K112" s="2">
        <v>0</v>
      </c>
    </row>
    <row r="113" spans="1:11" x14ac:dyDescent="0.3">
      <c r="A113">
        <v>1</v>
      </c>
      <c r="B113" t="s">
        <v>16</v>
      </c>
      <c r="C113" s="3">
        <v>0.193825371760143</v>
      </c>
      <c r="D113" s="3">
        <v>0.193825371760143</v>
      </c>
      <c r="E113" s="3">
        <v>0</v>
      </c>
      <c r="F113" s="2">
        <v>40500.932587263502</v>
      </c>
      <c r="G113" s="2">
        <v>0</v>
      </c>
      <c r="H113" s="2">
        <v>40500.932587263502</v>
      </c>
      <c r="I113" s="2">
        <v>4100.1865174527002</v>
      </c>
      <c r="J113" s="2">
        <v>0</v>
      </c>
      <c r="K113" s="2">
        <v>0</v>
      </c>
    </row>
  </sheetData>
  <pageMargins left="0.7" right="0.7" top="0.75" bottom="0.75" header="0.3" footer="0.3"/>
  <headerFooter>
    <oddHeader>&amp;L&amp;"Calibri"&amp;10&amp;K000000 Sensitivity: General Use&amp;1#_x000D_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3D85-513B-406C-A896-0D787629F127}">
  <dimension ref="A1:M87"/>
  <sheetViews>
    <sheetView workbookViewId="0">
      <selection activeCell="M5" sqref="M5"/>
    </sheetView>
  </sheetViews>
  <sheetFormatPr defaultRowHeight="14.4" x14ac:dyDescent="0.3"/>
  <cols>
    <col min="1" max="1" width="11.6640625" bestFit="1" customWidth="1"/>
    <col min="2" max="2" width="6.109375" bestFit="1" customWidth="1"/>
    <col min="3" max="3" width="11.77734375" bestFit="1" customWidth="1"/>
    <col min="4" max="4" width="8.44140625" bestFit="1" customWidth="1"/>
    <col min="5" max="5" width="10.44140625" style="2" bestFit="1" customWidth="1"/>
    <col min="6" max="6" width="5.44140625" bestFit="1" customWidth="1"/>
    <col min="7" max="7" width="7.77734375" bestFit="1" customWidth="1"/>
    <col min="8" max="8" width="14" style="2" bestFit="1" customWidth="1"/>
    <col min="9" max="9" width="12" bestFit="1" customWidth="1"/>
    <col min="10" max="10" width="14.109375" style="2" bestFit="1" customWidth="1"/>
    <col min="11" max="11" width="12.77734375" style="2" bestFit="1" customWidth="1"/>
    <col min="12" max="13" width="11.2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s="2" t="s">
        <v>7</v>
      </c>
      <c r="I1" t="s">
        <v>8</v>
      </c>
      <c r="J1" s="2" t="s">
        <v>9</v>
      </c>
      <c r="K1" s="2" t="s">
        <v>10</v>
      </c>
    </row>
    <row r="2" spans="1:11" x14ac:dyDescent="0.3">
      <c r="A2" s="1">
        <v>43137</v>
      </c>
      <c r="B2" t="s">
        <v>11</v>
      </c>
      <c r="C2">
        <v>168.45</v>
      </c>
      <c r="D2">
        <v>163.03</v>
      </c>
      <c r="E2" s="2">
        <v>5.4199999999999804</v>
      </c>
      <c r="F2" t="s">
        <v>12</v>
      </c>
      <c r="G2">
        <v>0.37</v>
      </c>
      <c r="H2" s="2">
        <v>20664.908299086001</v>
      </c>
      <c r="I2">
        <v>122.676807949457</v>
      </c>
      <c r="J2" s="2">
        <v>664.90829908605599</v>
      </c>
      <c r="K2" s="2">
        <v>246.01607066183999</v>
      </c>
    </row>
    <row r="3" spans="1:11" x14ac:dyDescent="0.3">
      <c r="A3" s="1">
        <v>43137</v>
      </c>
      <c r="B3" t="s">
        <v>13</v>
      </c>
      <c r="C3">
        <v>424.59</v>
      </c>
      <c r="D3">
        <v>91.33</v>
      </c>
      <c r="E3" s="2">
        <v>333.26</v>
      </c>
      <c r="F3" t="s">
        <v>12</v>
      </c>
      <c r="G3">
        <v>0.37</v>
      </c>
      <c r="H3" s="2">
        <v>92979.305814080799</v>
      </c>
      <c r="I3">
        <v>218.98609438300599</v>
      </c>
      <c r="J3" s="2">
        <v>72979.305814080799</v>
      </c>
      <c r="K3" s="2">
        <v>27002.3431512098</v>
      </c>
    </row>
    <row r="4" spans="1:11" x14ac:dyDescent="0.3">
      <c r="A4" s="1">
        <v>43137</v>
      </c>
      <c r="B4" t="s">
        <v>14</v>
      </c>
      <c r="C4">
        <v>120.55</v>
      </c>
      <c r="D4">
        <v>78.349999999999994</v>
      </c>
      <c r="E4" s="2">
        <v>42.2</v>
      </c>
      <c r="F4" t="s">
        <v>12</v>
      </c>
      <c r="G4">
        <v>0.37</v>
      </c>
      <c r="H4" s="2">
        <v>30772.176132737699</v>
      </c>
      <c r="I4">
        <v>255.26483726866601</v>
      </c>
      <c r="J4" s="2">
        <v>10772.176132737701</v>
      </c>
      <c r="K4" s="2">
        <v>3985.70516911295</v>
      </c>
    </row>
    <row r="5" spans="1:11" x14ac:dyDescent="0.3">
      <c r="A5" s="1">
        <v>43137</v>
      </c>
      <c r="B5" t="s">
        <v>15</v>
      </c>
      <c r="C5">
        <v>37.5</v>
      </c>
      <c r="D5">
        <v>31.2</v>
      </c>
      <c r="E5" s="2">
        <v>6.3</v>
      </c>
      <c r="F5" t="s">
        <v>12</v>
      </c>
      <c r="G5">
        <v>0.37</v>
      </c>
      <c r="H5" s="2">
        <v>24038.461538461499</v>
      </c>
      <c r="I5">
        <v>641.02564102564099</v>
      </c>
      <c r="J5" s="2">
        <v>4038.4615384615299</v>
      </c>
      <c r="K5" s="2">
        <v>1494.23076923076</v>
      </c>
    </row>
    <row r="6" spans="1:11" x14ac:dyDescent="0.3">
      <c r="A6" s="1">
        <v>43137</v>
      </c>
      <c r="B6" t="s">
        <v>16</v>
      </c>
      <c r="C6">
        <v>456</v>
      </c>
      <c r="D6">
        <v>225.18</v>
      </c>
      <c r="E6" s="2">
        <v>230.82</v>
      </c>
      <c r="F6" t="s">
        <v>12</v>
      </c>
      <c r="G6">
        <v>0.37</v>
      </c>
      <c r="H6" s="2">
        <v>40500.932587263502</v>
      </c>
      <c r="I6">
        <v>88.817834621191906</v>
      </c>
      <c r="J6" s="2">
        <v>20500.932587263502</v>
      </c>
      <c r="K6" s="2">
        <v>7585.3450572874999</v>
      </c>
    </row>
    <row r="9" spans="1:11" x14ac:dyDescent="0.3">
      <c r="A9" s="1"/>
    </row>
    <row r="10" spans="1:11" x14ac:dyDescent="0.3">
      <c r="A10" s="1"/>
    </row>
    <row r="11" spans="1:11" x14ac:dyDescent="0.3">
      <c r="A11" s="1"/>
    </row>
    <row r="12" spans="1:11" x14ac:dyDescent="0.3">
      <c r="A12" s="1"/>
    </row>
    <row r="13" spans="1:11" x14ac:dyDescent="0.3">
      <c r="A13" s="1"/>
    </row>
    <row r="16" spans="1:11" x14ac:dyDescent="0.3">
      <c r="I16" s="7"/>
    </row>
    <row r="17" spans="3:13" x14ac:dyDescent="0.3">
      <c r="C17" s="6"/>
      <c r="D17" s="6"/>
      <c r="E17" s="6"/>
      <c r="F17" s="2"/>
      <c r="G17" s="2"/>
      <c r="I17" s="7"/>
      <c r="K17" s="4"/>
      <c r="L17" s="2"/>
      <c r="M17" s="2"/>
    </row>
    <row r="18" spans="3:13" x14ac:dyDescent="0.3">
      <c r="C18" s="6"/>
      <c r="D18" s="6"/>
      <c r="E18" s="6"/>
      <c r="F18" s="2"/>
      <c r="G18" s="2"/>
      <c r="I18" s="8"/>
      <c r="K18" s="4"/>
      <c r="L18" s="2"/>
      <c r="M18" s="2"/>
    </row>
    <row r="19" spans="3:13" x14ac:dyDescent="0.3">
      <c r="C19" s="6"/>
      <c r="D19" s="6"/>
      <c r="E19" s="6"/>
      <c r="F19" s="2"/>
      <c r="G19" s="2"/>
      <c r="I19" s="8"/>
      <c r="K19" s="4"/>
      <c r="L19" s="2"/>
      <c r="M19" s="2"/>
    </row>
    <row r="20" spans="3:13" x14ac:dyDescent="0.3">
      <c r="C20" s="6"/>
      <c r="D20" s="6"/>
      <c r="E20" s="6"/>
      <c r="F20" s="2"/>
      <c r="G20" s="2"/>
      <c r="I20" s="8"/>
      <c r="K20" s="4"/>
      <c r="L20" s="2"/>
      <c r="M20" s="2"/>
    </row>
    <row r="21" spans="3:13" x14ac:dyDescent="0.3">
      <c r="C21" s="6"/>
      <c r="D21" s="6"/>
      <c r="E21" s="6"/>
      <c r="F21" s="2"/>
      <c r="G21" s="2"/>
      <c r="I21" s="8"/>
      <c r="K21" s="4"/>
      <c r="L21" s="2"/>
      <c r="M21" s="2"/>
    </row>
    <row r="22" spans="3:13" x14ac:dyDescent="0.3">
      <c r="C22" s="6"/>
      <c r="D22" s="6"/>
      <c r="E22" s="6"/>
      <c r="F22" s="2"/>
      <c r="G22" s="2"/>
      <c r="I22" s="8"/>
      <c r="K22" s="4"/>
      <c r="L22" s="2"/>
      <c r="M22" s="2"/>
    </row>
    <row r="23" spans="3:13" x14ac:dyDescent="0.3">
      <c r="C23" s="6"/>
      <c r="D23" s="6"/>
      <c r="E23" s="6"/>
      <c r="F23" s="2"/>
      <c r="G23" s="2"/>
      <c r="I23" s="8"/>
      <c r="K23" s="4"/>
      <c r="L23" s="2"/>
      <c r="M23" s="2"/>
    </row>
    <row r="24" spans="3:13" x14ac:dyDescent="0.3">
      <c r="C24" s="6"/>
      <c r="D24" s="6"/>
      <c r="E24" s="6"/>
      <c r="F24" s="2"/>
      <c r="G24" s="2"/>
      <c r="I24" s="8"/>
      <c r="K24" s="4"/>
      <c r="L24" s="2"/>
      <c r="M24" s="2"/>
    </row>
    <row r="25" spans="3:13" x14ac:dyDescent="0.3">
      <c r="C25" s="6"/>
      <c r="D25" s="6"/>
      <c r="E25" s="6"/>
      <c r="F25" s="2"/>
      <c r="G25" s="2"/>
      <c r="I25" s="8"/>
      <c r="K25" s="4"/>
      <c r="L25" s="2"/>
      <c r="M25" s="2"/>
    </row>
    <row r="26" spans="3:13" x14ac:dyDescent="0.3">
      <c r="C26" s="6"/>
      <c r="D26" s="6"/>
      <c r="E26" s="6"/>
      <c r="F26" s="2"/>
      <c r="G26" s="2"/>
      <c r="I26" s="8"/>
      <c r="K26" s="4"/>
      <c r="L26" s="2"/>
      <c r="M26" s="2"/>
    </row>
    <row r="27" spans="3:13" x14ac:dyDescent="0.3">
      <c r="C27" s="6"/>
      <c r="D27" s="6"/>
      <c r="E27" s="6"/>
      <c r="F27" s="2"/>
      <c r="G27" s="2"/>
      <c r="I27" s="8"/>
      <c r="K27" s="4"/>
      <c r="L27" s="2"/>
      <c r="M27" s="2"/>
    </row>
    <row r="28" spans="3:13" x14ac:dyDescent="0.3">
      <c r="C28" s="6"/>
      <c r="D28" s="6"/>
      <c r="E28" s="6"/>
      <c r="F28" s="2"/>
      <c r="G28" s="2"/>
      <c r="I28" s="8"/>
      <c r="J28" s="4"/>
      <c r="K28" s="4"/>
      <c r="L28" s="2"/>
      <c r="M28" s="5"/>
    </row>
    <row r="29" spans="3:13" x14ac:dyDescent="0.3">
      <c r="C29" s="6"/>
      <c r="D29" s="6"/>
      <c r="E29" s="6"/>
      <c r="F29" s="2"/>
      <c r="G29" s="2"/>
      <c r="I29" s="8"/>
      <c r="J29" s="4"/>
      <c r="K29" s="4"/>
      <c r="L29" s="2"/>
      <c r="M29" s="5"/>
    </row>
    <row r="30" spans="3:13" x14ac:dyDescent="0.3">
      <c r="C30" s="6"/>
      <c r="D30" s="6"/>
      <c r="E30" s="6"/>
      <c r="F30" s="2"/>
      <c r="G30" s="2"/>
      <c r="J30" s="4"/>
      <c r="K30" s="4"/>
      <c r="L30" s="2"/>
      <c r="M30" s="5"/>
    </row>
    <row r="31" spans="3:13" x14ac:dyDescent="0.3">
      <c r="C31" s="6"/>
      <c r="D31" s="6"/>
      <c r="E31" s="6"/>
      <c r="F31" s="2"/>
      <c r="G31" s="2"/>
      <c r="J31" s="4"/>
      <c r="K31" s="4"/>
      <c r="L31" s="2"/>
      <c r="M31" s="5"/>
    </row>
    <row r="32" spans="3:13" x14ac:dyDescent="0.3">
      <c r="C32" s="6"/>
      <c r="D32" s="6"/>
      <c r="E32" s="6"/>
      <c r="F32" s="2"/>
      <c r="G32" s="2"/>
    </row>
    <row r="33" spans="3:7" x14ac:dyDescent="0.3">
      <c r="C33" s="6"/>
      <c r="D33" s="6"/>
      <c r="E33" s="6"/>
      <c r="F33" s="2"/>
      <c r="G33" s="2"/>
    </row>
    <row r="34" spans="3:7" x14ac:dyDescent="0.3">
      <c r="C34" s="6"/>
      <c r="D34" s="6"/>
      <c r="E34" s="6"/>
      <c r="F34" s="2"/>
      <c r="G34" s="2"/>
    </row>
    <row r="35" spans="3:7" x14ac:dyDescent="0.3">
      <c r="C35" s="6"/>
      <c r="D35" s="6"/>
      <c r="E35" s="6"/>
      <c r="F35" s="2"/>
      <c r="G35" s="2"/>
    </row>
    <row r="36" spans="3:7" x14ac:dyDescent="0.3">
      <c r="C36" s="6"/>
      <c r="D36" s="6"/>
      <c r="E36" s="6"/>
      <c r="F36" s="2"/>
      <c r="G36" s="2"/>
    </row>
    <row r="37" spans="3:7" x14ac:dyDescent="0.3">
      <c r="C37" s="6"/>
      <c r="D37" s="6"/>
      <c r="E37" s="6"/>
      <c r="F37" s="2"/>
      <c r="G37" s="2"/>
    </row>
    <row r="38" spans="3:7" x14ac:dyDescent="0.3">
      <c r="C38" s="6"/>
      <c r="D38" s="6"/>
      <c r="E38" s="6"/>
      <c r="F38" s="2"/>
      <c r="G38" s="2"/>
    </row>
    <row r="39" spans="3:7" x14ac:dyDescent="0.3">
      <c r="C39" s="6"/>
      <c r="D39" s="6"/>
      <c r="E39" s="6"/>
      <c r="F39" s="2"/>
      <c r="G39" s="2"/>
    </row>
    <row r="40" spans="3:7" x14ac:dyDescent="0.3">
      <c r="C40" s="6"/>
      <c r="D40" s="6"/>
      <c r="E40" s="6"/>
      <c r="F40" s="2"/>
      <c r="G40" s="2"/>
    </row>
    <row r="41" spans="3:7" x14ac:dyDescent="0.3">
      <c r="C41" s="6"/>
      <c r="D41" s="6"/>
      <c r="E41" s="6"/>
      <c r="F41" s="2"/>
      <c r="G41" s="2"/>
    </row>
    <row r="42" spans="3:7" x14ac:dyDescent="0.3">
      <c r="C42" s="6"/>
      <c r="D42" s="6"/>
      <c r="E42" s="6"/>
      <c r="F42" s="2"/>
      <c r="G42" s="2"/>
    </row>
    <row r="43" spans="3:7" x14ac:dyDescent="0.3">
      <c r="C43" s="6"/>
      <c r="D43" s="6"/>
      <c r="E43" s="6"/>
      <c r="F43" s="2"/>
      <c r="G43" s="2"/>
    </row>
    <row r="44" spans="3:7" x14ac:dyDescent="0.3">
      <c r="C44" s="6"/>
      <c r="D44" s="6"/>
      <c r="E44" s="6"/>
      <c r="F44" s="2"/>
      <c r="G44" s="2"/>
    </row>
    <row r="45" spans="3:7" x14ac:dyDescent="0.3">
      <c r="C45" s="6"/>
      <c r="D45" s="6"/>
      <c r="E45" s="6"/>
      <c r="F45" s="2"/>
      <c r="G45" s="2"/>
    </row>
    <row r="46" spans="3:7" x14ac:dyDescent="0.3">
      <c r="C46" s="6"/>
      <c r="D46" s="6"/>
      <c r="E46" s="6"/>
      <c r="F46" s="2"/>
      <c r="G46" s="2"/>
    </row>
    <row r="47" spans="3:7" x14ac:dyDescent="0.3">
      <c r="C47" s="6"/>
      <c r="D47" s="6"/>
      <c r="E47" s="6"/>
      <c r="F47" s="2"/>
      <c r="G47" s="2"/>
    </row>
    <row r="48" spans="3:7" x14ac:dyDescent="0.3">
      <c r="C48" s="6"/>
      <c r="D48" s="6"/>
      <c r="E48" s="6"/>
      <c r="F48" s="2"/>
      <c r="G48" s="2"/>
    </row>
    <row r="49" spans="3:7" x14ac:dyDescent="0.3">
      <c r="C49" s="6"/>
      <c r="D49" s="6"/>
      <c r="E49" s="6"/>
      <c r="F49" s="2"/>
      <c r="G49" s="2"/>
    </row>
    <row r="50" spans="3:7" x14ac:dyDescent="0.3">
      <c r="C50" s="6"/>
      <c r="D50" s="6"/>
      <c r="E50" s="6"/>
      <c r="F50" s="2"/>
      <c r="G50" s="2"/>
    </row>
    <row r="51" spans="3:7" x14ac:dyDescent="0.3">
      <c r="C51" s="6"/>
      <c r="D51" s="6"/>
      <c r="E51" s="6"/>
      <c r="F51" s="2"/>
      <c r="G51" s="2"/>
    </row>
    <row r="52" spans="3:7" x14ac:dyDescent="0.3">
      <c r="C52" s="6"/>
      <c r="D52" s="6"/>
      <c r="E52" s="6"/>
      <c r="F52" s="2"/>
      <c r="G52" s="2"/>
    </row>
    <row r="53" spans="3:7" x14ac:dyDescent="0.3">
      <c r="C53" s="6"/>
      <c r="D53" s="6"/>
      <c r="E53" s="6"/>
      <c r="F53" s="2"/>
      <c r="G53" s="2"/>
    </row>
    <row r="54" spans="3:7" x14ac:dyDescent="0.3">
      <c r="C54" s="6"/>
      <c r="D54" s="6"/>
      <c r="E54" s="6"/>
      <c r="F54" s="2"/>
      <c r="G54" s="2"/>
    </row>
    <row r="55" spans="3:7" x14ac:dyDescent="0.3">
      <c r="C55" s="6"/>
      <c r="D55" s="6"/>
      <c r="E55" s="6"/>
      <c r="F55" s="2"/>
      <c r="G55" s="2"/>
    </row>
    <row r="56" spans="3:7" x14ac:dyDescent="0.3">
      <c r="C56" s="6"/>
      <c r="D56" s="6"/>
      <c r="E56" s="6"/>
      <c r="F56" s="2"/>
      <c r="G56" s="2"/>
    </row>
    <row r="57" spans="3:7" x14ac:dyDescent="0.3">
      <c r="C57" s="6"/>
      <c r="D57" s="6"/>
      <c r="E57" s="6"/>
      <c r="F57" s="2"/>
      <c r="G57" s="2"/>
    </row>
    <row r="58" spans="3:7" x14ac:dyDescent="0.3">
      <c r="C58" s="6"/>
      <c r="D58" s="6"/>
      <c r="E58" s="6"/>
      <c r="F58" s="2"/>
      <c r="G58" s="2"/>
    </row>
    <row r="59" spans="3:7" x14ac:dyDescent="0.3">
      <c r="C59" s="6"/>
      <c r="D59" s="6"/>
      <c r="E59" s="6"/>
      <c r="F59" s="2"/>
      <c r="G59" s="2"/>
    </row>
    <row r="60" spans="3:7" x14ac:dyDescent="0.3">
      <c r="C60" s="6"/>
      <c r="D60" s="6"/>
      <c r="E60" s="6"/>
      <c r="F60" s="2"/>
      <c r="G60" s="2"/>
    </row>
    <row r="61" spans="3:7" x14ac:dyDescent="0.3">
      <c r="C61" s="6"/>
      <c r="D61" s="6"/>
      <c r="E61" s="6"/>
      <c r="F61" s="2"/>
      <c r="G61" s="2"/>
    </row>
    <row r="62" spans="3:7" x14ac:dyDescent="0.3">
      <c r="C62" s="6"/>
      <c r="D62" s="6"/>
      <c r="E62" s="6"/>
      <c r="F62" s="2"/>
      <c r="G62" s="2"/>
    </row>
    <row r="63" spans="3:7" x14ac:dyDescent="0.3">
      <c r="C63" s="6"/>
      <c r="D63" s="6"/>
      <c r="E63" s="6"/>
      <c r="F63" s="2"/>
      <c r="G63" s="2"/>
    </row>
    <row r="64" spans="3:7" x14ac:dyDescent="0.3">
      <c r="C64" s="6"/>
      <c r="D64" s="6"/>
      <c r="E64" s="6"/>
      <c r="F64" s="2"/>
      <c r="G64" s="2"/>
    </row>
    <row r="65" spans="3:7" x14ac:dyDescent="0.3">
      <c r="C65" s="6"/>
      <c r="D65" s="6"/>
      <c r="E65" s="6"/>
      <c r="F65" s="2"/>
      <c r="G65" s="2"/>
    </row>
    <row r="66" spans="3:7" x14ac:dyDescent="0.3">
      <c r="C66" s="6"/>
      <c r="D66" s="6"/>
      <c r="E66" s="6"/>
      <c r="F66" s="2"/>
      <c r="G66" s="2"/>
    </row>
    <row r="67" spans="3:7" x14ac:dyDescent="0.3">
      <c r="C67" s="6"/>
      <c r="D67" s="6"/>
      <c r="E67" s="6"/>
      <c r="F67" s="2"/>
      <c r="G67" s="2"/>
    </row>
    <row r="68" spans="3:7" x14ac:dyDescent="0.3">
      <c r="C68" s="6"/>
      <c r="D68" s="6"/>
      <c r="E68" s="6"/>
      <c r="F68" s="2"/>
      <c r="G68" s="2"/>
    </row>
    <row r="69" spans="3:7" x14ac:dyDescent="0.3">
      <c r="C69" s="6"/>
      <c r="D69" s="6"/>
      <c r="E69" s="6"/>
      <c r="F69" s="2"/>
      <c r="G69" s="2"/>
    </row>
    <row r="70" spans="3:7" x14ac:dyDescent="0.3">
      <c r="C70" s="6"/>
      <c r="D70" s="6"/>
      <c r="E70" s="6"/>
      <c r="F70" s="2"/>
      <c r="G70" s="2"/>
    </row>
    <row r="71" spans="3:7" x14ac:dyDescent="0.3">
      <c r="C71" s="6"/>
      <c r="D71" s="6"/>
      <c r="E71" s="6"/>
      <c r="F71" s="2"/>
      <c r="G71" s="2"/>
    </row>
    <row r="72" spans="3:7" x14ac:dyDescent="0.3">
      <c r="C72" s="6"/>
      <c r="D72" s="6"/>
      <c r="E72" s="6"/>
      <c r="F72" s="2"/>
      <c r="G72" s="2"/>
    </row>
    <row r="73" spans="3:7" x14ac:dyDescent="0.3">
      <c r="C73" s="6"/>
      <c r="D73" s="6"/>
      <c r="E73" s="6"/>
      <c r="F73" s="2"/>
      <c r="G73" s="2"/>
    </row>
    <row r="74" spans="3:7" x14ac:dyDescent="0.3">
      <c r="C74" s="6"/>
      <c r="D74" s="6"/>
      <c r="E74" s="6"/>
      <c r="F74" s="2"/>
      <c r="G74" s="2"/>
    </row>
    <row r="75" spans="3:7" x14ac:dyDescent="0.3">
      <c r="C75" s="6"/>
      <c r="D75" s="6"/>
      <c r="E75" s="6"/>
      <c r="F75" s="2"/>
      <c r="G75" s="2"/>
    </row>
    <row r="76" spans="3:7" x14ac:dyDescent="0.3">
      <c r="C76" s="6"/>
      <c r="D76" s="6"/>
      <c r="E76" s="6"/>
      <c r="F76" s="2"/>
      <c r="G76" s="2"/>
    </row>
    <row r="77" spans="3:7" x14ac:dyDescent="0.3">
      <c r="C77" s="6"/>
      <c r="D77" s="6"/>
      <c r="E77" s="6"/>
      <c r="F77" s="2"/>
      <c r="G77" s="2"/>
    </row>
    <row r="78" spans="3:7" x14ac:dyDescent="0.3">
      <c r="C78" s="6"/>
      <c r="D78" s="6"/>
      <c r="E78" s="6"/>
      <c r="F78" s="2"/>
      <c r="G78" s="2"/>
    </row>
    <row r="79" spans="3:7" x14ac:dyDescent="0.3">
      <c r="C79" s="6"/>
      <c r="D79" s="6"/>
      <c r="E79" s="6"/>
      <c r="F79" s="2"/>
      <c r="G79" s="2"/>
    </row>
    <row r="80" spans="3:7" x14ac:dyDescent="0.3">
      <c r="C80" s="6"/>
      <c r="D80" s="6"/>
      <c r="E80" s="6"/>
      <c r="F80" s="2"/>
      <c r="G80" s="2"/>
    </row>
    <row r="81" spans="3:7" x14ac:dyDescent="0.3">
      <c r="C81" s="6"/>
      <c r="D81" s="6"/>
      <c r="E81" s="6"/>
      <c r="F81" s="2"/>
      <c r="G81" s="2"/>
    </row>
    <row r="82" spans="3:7" x14ac:dyDescent="0.3">
      <c r="C82" s="6"/>
      <c r="D82" s="6"/>
      <c r="E82" s="6"/>
      <c r="F82" s="2"/>
      <c r="G82" s="2"/>
    </row>
    <row r="83" spans="3:7" x14ac:dyDescent="0.3">
      <c r="C83" s="6"/>
      <c r="D83" s="6"/>
      <c r="E83" s="6"/>
      <c r="F83" s="2"/>
      <c r="G83" s="2"/>
    </row>
    <row r="84" spans="3:7" x14ac:dyDescent="0.3">
      <c r="C84" s="6"/>
      <c r="D84" s="6"/>
      <c r="E84" s="6"/>
      <c r="F84" s="2"/>
      <c r="G84" s="2"/>
    </row>
    <row r="85" spans="3:7" x14ac:dyDescent="0.3">
      <c r="C85" s="6"/>
      <c r="D85" s="6"/>
      <c r="E85" s="6"/>
      <c r="F85" s="2"/>
      <c r="G85" s="2"/>
    </row>
    <row r="86" spans="3:7" x14ac:dyDescent="0.3">
      <c r="C86" s="6"/>
      <c r="D86" s="6"/>
      <c r="E86" s="6"/>
      <c r="F86" s="2"/>
      <c r="G86" s="2"/>
    </row>
    <row r="87" spans="3:7" x14ac:dyDescent="0.3">
      <c r="C87" s="6"/>
      <c r="D87" s="6"/>
      <c r="E87" s="6"/>
      <c r="F87" s="2"/>
      <c r="G87" s="2"/>
    </row>
  </sheetData>
  <pageMargins left="0.7" right="0.7" top="0.75" bottom="0.75" header="0.3" footer="0.3"/>
  <headerFooter>
    <oddHeader>&amp;L&amp;"Calibri"&amp;10&amp;K000000 Sensitivity: General Use&amp;1#_x000D_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Lots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Benjamin.Kovalick@dimensional.com</dc:creator>
  <cp:lastModifiedBy>Benjamin.Kovalick@dimensional.com</cp:lastModifiedBy>
  <dcterms:created xsi:type="dcterms:W3CDTF">2026-04-09T14:36:30Z</dcterms:created>
  <dcterms:modified xsi:type="dcterms:W3CDTF">2026-04-13T19:59:29Z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d901df5-9089-4a67-bbcf-1de4e77fd295_Enabled">
    <vt:lpwstr>true</vt:lpwstr>
  </property>
  <property fmtid="{D5CDD505-2E9C-101B-9397-08002B2CF9AE}" pid="3" name="MSIP_Label_6d901df5-9089-4a67-bbcf-1de4e77fd295_SetDate">
    <vt:lpwstr>2026-04-13T13:44:53Z</vt:lpwstr>
  </property>
  <property fmtid="{D5CDD505-2E9C-101B-9397-08002B2CF9AE}" pid="4" name="MSIP_Label_6d901df5-9089-4a67-bbcf-1de4e77fd295_Method">
    <vt:lpwstr>Privileged</vt:lpwstr>
  </property>
  <property fmtid="{D5CDD505-2E9C-101B-9397-08002B2CF9AE}" pid="5" name="MSIP_Label_6d901df5-9089-4a67-bbcf-1de4e77fd295_Name">
    <vt:lpwstr>General Content</vt:lpwstr>
  </property>
  <property fmtid="{D5CDD505-2E9C-101B-9397-08002B2CF9AE}" pid="6" name="MSIP_Label_6d901df5-9089-4a67-bbcf-1de4e77fd295_SiteId">
    <vt:lpwstr>50488be8-ac74-4dcd-9bdd-44db35d92d8d</vt:lpwstr>
  </property>
  <property fmtid="{D5CDD505-2E9C-101B-9397-08002B2CF9AE}" pid="7" name="MSIP_Label_6d901df5-9089-4a67-bbcf-1de4e77fd295_ActionId">
    <vt:lpwstr>61faedcd-6864-428c-b017-d102d00bf6ea</vt:lpwstr>
  </property>
  <property fmtid="{D5CDD505-2E9C-101B-9397-08002B2CF9AE}" pid="8" name="MSIP_Label_6d901df5-9089-4a67-bbcf-1de4e77fd295_ContentBits">
    <vt:lpwstr>1</vt:lpwstr>
  </property>
  <property fmtid="{D5CDD505-2E9C-101B-9397-08002B2CF9AE}" pid="9" name="MSIP_Label_6d901df5-9089-4a67-bbcf-1de4e77fd295_Tag">
    <vt:lpwstr>10, 0, 1, 1</vt:lpwstr>
  </property>
</Properties>
</file>